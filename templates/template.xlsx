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__dev_projects\ezfacture\templates\"/>
    </mc:Choice>
  </mc:AlternateContent>
  <xr:revisionPtr revIDLastSave="0" documentId="13_ncr:1_{A2955395-4C14-452E-AA47-8248FCEC0B5B}" xr6:coauthVersionLast="47" xr6:coauthVersionMax="47" xr10:uidLastSave="{00000000-0000-0000-0000-000000000000}"/>
  <bookViews>
    <workbookView xWindow="-120" yWindow="-120" windowWidth="38640" windowHeight="21120" activeTab="1" xr2:uid="{73B8519F-31D5-489C-8AD9-62A11CBFF5A8}"/>
  </bookViews>
  <sheets>
    <sheet name="devis" sheetId="5" r:id="rId1"/>
    <sheet name="facture" sheetId="1" r:id="rId2"/>
    <sheet name="avoir" sheetId="6" r:id="rId3"/>
    <sheet name="clients" sheetId="12" state="hidden" r:id="rId4"/>
    <sheet name="produits" sheetId="4" state="hidden" r:id="rId5"/>
    <sheet name="listes" sheetId="8" state="hidden" r:id="rId6"/>
    <sheet name="config" sheetId="7" state="hidden" r:id="rId7"/>
    <sheet name="aide" sheetId="9" r:id="rId8"/>
  </sheets>
  <definedNames>
    <definedName name="AAB" localSheetId="6">config!$B$20</definedName>
    <definedName name="acompte" localSheetId="2">avoir!$I$31</definedName>
    <definedName name="acompte" localSheetId="0">devis!$I$31</definedName>
    <definedName name="acompte" localSheetId="1">facture!$I$31</definedName>
    <definedName name="adresse_client" localSheetId="2">avoir!$B$16:$I$21</definedName>
    <definedName name="adresse_client" localSheetId="0">devis!$B$17:$I$21</definedName>
    <definedName name="adresse_client" localSheetId="1">facture!$B$16:$I$21</definedName>
    <definedName name="av_num_avoir" localSheetId="2">avoir!$I$4</definedName>
    <definedName name="backup" localSheetId="6">config!$B$21</definedName>
    <definedName name="buyer_address" localSheetId="2">avoir!$B$18</definedName>
    <definedName name="buyer_address" localSheetId="1">facture!$B$18</definedName>
    <definedName name="buyer_city" localSheetId="2">avoir!$B$20</definedName>
    <definedName name="buyer_city" localSheetId="1">facture!$B$20</definedName>
    <definedName name="buyer_contact" localSheetId="2">avoir!$C$16</definedName>
    <definedName name="buyer_contact" localSheetId="1">facture!$C$16</definedName>
    <definedName name="buyer_country" localSheetId="2">avoir!$B$21</definedName>
    <definedName name="buyer_country" localSheetId="1">facture!$B$21</definedName>
    <definedName name="buyer_endpoint" localSheetId="6">config!#REF!</definedName>
    <definedName name="buyer_endpoint_scheme" localSheetId="6">config!#REF!</definedName>
    <definedName name="buyer_mail" localSheetId="2">avoir!$C$18</definedName>
    <definedName name="buyer_mail" localSheetId="1">facture!$C$18</definedName>
    <definedName name="buyer_name" localSheetId="2">avoir!$B$17</definedName>
    <definedName name="buyer_name" localSheetId="1">facture!$B$17</definedName>
    <definedName name="buyer_party_legal_entity_id" localSheetId="2">avoir!$C$20</definedName>
    <definedName name="buyer_party_legal_entity_id" localSheetId="1">facture!$C$20</definedName>
    <definedName name="buyer_phone" localSheetId="1">facture!$C$17</definedName>
    <definedName name="buyer_phone">avoir!$C$17</definedName>
    <definedName name="buyer_postalzone" localSheetId="2">avoir!$B$19</definedName>
    <definedName name="buyer_postalzone" localSheetId="1">facture!$B$19</definedName>
    <definedName name="buyer_registration_name" localSheetId="2">avoir!$B$16</definedName>
    <definedName name="buyer_registration_name" localSheetId="1">facture!$B$16</definedName>
    <definedName name="buyer_tax_scheme" localSheetId="6">config!#REF!</definedName>
    <definedName name="buyer_tax_scheme_id" localSheetId="2">avoir!$C$19</definedName>
    <definedName name="buyer_tax_scheme_id" localSheetId="1">facture!$C$19</definedName>
    <definedName name="date_facture" localSheetId="2">avoir!$I$9</definedName>
    <definedName name="date_facture" localSheetId="1">facture!$I$8</definedName>
    <definedName name="date_facture_reference" localSheetId="2">avoir!$I$7</definedName>
    <definedName name="description_devis" localSheetId="0">devis!$E$11</definedName>
    <definedName name="dev_date_devis" localSheetId="0">devis!$I$7</definedName>
    <definedName name="dev_date_valid" localSheetId="0">devis!$I$8</definedName>
    <definedName name="dev_num_devis" localSheetId="0">devis!$I$4</definedName>
    <definedName name="endpoint" localSheetId="6">config!#REF!</definedName>
    <definedName name="endpoint_scheme" localSheetId="6">config!#REF!</definedName>
    <definedName name="fact_date_echeance" localSheetId="1">facture!$I$10</definedName>
    <definedName name="fact_date_livraison" localSheetId="1">facture!$I$9</definedName>
    <definedName name="fact_num_fact" localSheetId="1">facture!$I$4</definedName>
    <definedName name="fact_ref_commande" localSheetId="1">facture!$I$6</definedName>
    <definedName name="first_avoir_number">config!$B$17</definedName>
    <definedName name="first_invoice_number">config!$B$16</definedName>
    <definedName name="footer">config!$B$14</definedName>
    <definedName name="instructions_paiement">config!#REF!</definedName>
    <definedName name="liste_cat_taxes">listes!$E$3:$E$19</definedName>
    <definedName name="liste_regimes_tva">config!$E$16:$E$17</definedName>
    <definedName name="logo" localSheetId="2">avoir!$B$4</definedName>
    <definedName name="logo" localSheetId="0">devis!$B$4</definedName>
    <definedName name="logo" localSheetId="1">facture!$B$4</definedName>
    <definedName name="net_a_payer" localSheetId="2">avoir!$I$32</definedName>
    <definedName name="net_a_payer" localSheetId="0">devis!$I$32</definedName>
    <definedName name="net_a_payer" localSheetId="1">facture!$I$32</definedName>
    <definedName name="note_avoir" localSheetId="2">avoir!$B$34</definedName>
    <definedName name="note_facture" localSheetId="1">facture!$B$34</definedName>
    <definedName name="num_client" localSheetId="2">avoir!$I$8</definedName>
    <definedName name="num_client" localSheetId="0">devis!$I$6</definedName>
    <definedName name="num_client" localSheetId="1">facture!$I$7</definedName>
    <definedName name="PMD" localSheetId="6">config!$B$18</definedName>
    <definedName name="PMT" localSheetId="6">config!$B$19</definedName>
    <definedName name="postalzone">devis!$B$9</definedName>
    <definedName name="Produits">table_produits[#All]</definedName>
    <definedName name="RCS" localSheetId="2">avoir!$C$8</definedName>
    <definedName name="RCS" localSheetId="6">config!$B$13</definedName>
    <definedName name="RCS" localSheetId="0">devis!$C$8</definedName>
    <definedName name="RCS" localSheetId="1">facture!$C$8</definedName>
    <definedName name="ref_client">table_clients[Numéro client]</definedName>
    <definedName name="ref_produit">table_produits[Référence produit]</definedName>
    <definedName name="reference_facture" localSheetId="2">avoir!$I$6</definedName>
    <definedName name="regime_tva">config!$B$15</definedName>
    <definedName name="seller_address" localSheetId="2">avoir!$B$8</definedName>
    <definedName name="seller_address" localSheetId="6">config!$B$4</definedName>
    <definedName name="seller_address" localSheetId="0">devis!$B$8</definedName>
    <definedName name="seller_address" localSheetId="1">facture!$B$8</definedName>
    <definedName name="seller_address2" localSheetId="6">config!$B$5</definedName>
    <definedName name="seller_city" localSheetId="6">config!$B$7</definedName>
    <definedName name="seller_country" localSheetId="2">avoir!$B$10</definedName>
    <definedName name="seller_country" localSheetId="6">config!$B$8</definedName>
    <definedName name="seller_country" localSheetId="0">devis!$B$10</definedName>
    <definedName name="seller_country" localSheetId="1">facture!$B$10</definedName>
    <definedName name="seller_cp_city" localSheetId="2">avoir!$B$9</definedName>
    <definedName name="seller_cp_city" localSheetId="0">devis!$B$9</definedName>
    <definedName name="seller_cp_city" localSheetId="1">facture!$B$9</definedName>
    <definedName name="seller_mail" localSheetId="2">avoir!$B$12</definedName>
    <definedName name="seller_mail" localSheetId="6">config!$B$10</definedName>
    <definedName name="seller_mail" localSheetId="0">devis!$B$12</definedName>
    <definedName name="seller_mail" localSheetId="1">facture!$B$12</definedName>
    <definedName name="seller_mail">config!$B$10</definedName>
    <definedName name="seller_name" localSheetId="2">avoir!$B$7</definedName>
    <definedName name="seller_name" localSheetId="6">config!$B$3</definedName>
    <definedName name="seller_name" localSheetId="0">devis!$B$7</definedName>
    <definedName name="seller_name" localSheetId="1">facture!$B$7</definedName>
    <definedName name="seller_party_legal_entity_id" localSheetId="2">avoir!$C$7</definedName>
    <definedName name="seller_party_legal_entity_id" localSheetId="6">config!$B$12</definedName>
    <definedName name="seller_party_legal_entity_id" localSheetId="0">devis!$C$7</definedName>
    <definedName name="seller_party_legal_entity_id" localSheetId="1">facture!$C$7</definedName>
    <definedName name="seller_phone" localSheetId="2">avoir!$B$11</definedName>
    <definedName name="seller_phone" localSheetId="6">config!$B$9</definedName>
    <definedName name="seller_phone" localSheetId="0">devis!$B$11</definedName>
    <definedName name="seller_phone" localSheetId="1">facture!$B$11</definedName>
    <definedName name="seller_postalzone" localSheetId="6">config!$B$6</definedName>
    <definedName name="seller_registration_name" localSheetId="2">avoir!$B$6</definedName>
    <definedName name="seller_registration_name" localSheetId="6">config!$B$2</definedName>
    <definedName name="seller_registration_name" localSheetId="0">devis!$B$6</definedName>
    <definedName name="seller_registration_name" localSheetId="1">facture!$B$6</definedName>
    <definedName name="seller_tax_scheme_id" localSheetId="2">avoir!$C$6</definedName>
    <definedName name="seller_tax_scheme_id" localSheetId="6">config!$B$11</definedName>
    <definedName name="seller_tax_scheme_id" localSheetId="0">devis!$C$6</definedName>
    <definedName name="seller_tax_scheme_id" localSheetId="1">facture!$C$6</definedName>
    <definedName name="Taux_tva" localSheetId="5">listes!$A$3:$E$12</definedName>
    <definedName name="tax_scheme" localSheetId="6">config!#REF!</definedName>
    <definedName name="total_ht" localSheetId="2">avoir!$I$28</definedName>
    <definedName name="total_ht" localSheetId="0">devis!$I$28</definedName>
    <definedName name="total_ht" localSheetId="1">facture!$I$28</definedName>
    <definedName name="total_ttc" localSheetId="2">avoir!$I$30</definedName>
    <definedName name="total_ttc" localSheetId="0">devis!$I$30</definedName>
    <definedName name="total_ttc" localSheetId="1">facture!$I$30</definedName>
    <definedName name="total_tva" localSheetId="2">avoir!$I$29</definedName>
    <definedName name="total_tva" localSheetId="0">devis!$I$29</definedName>
    <definedName name="total_tva" localSheetId="1">facture!$I$29</definedName>
    <definedName name="_xlnm.Print_Area" localSheetId="2">avoir!$A$1:$J$51</definedName>
    <definedName name="_xlnm.Print_Area" localSheetId="0">devis!$A$1:$J$54</definedName>
    <definedName name="_xlnm.Print_Area" localSheetId="1">facture!$A$1:$J$51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6" l="1"/>
  <c r="C20" i="6"/>
  <c r="B30" i="6"/>
  <c r="B30" i="5"/>
  <c r="C20" i="1"/>
  <c r="B30" i="1"/>
  <c r="C18" i="6"/>
  <c r="C19" i="6"/>
  <c r="C17" i="6"/>
  <c r="C16" i="6"/>
  <c r="B21" i="6"/>
  <c r="B20" i="6"/>
  <c r="B19" i="6"/>
  <c r="B18" i="6"/>
  <c r="B17" i="6"/>
  <c r="B16" i="6"/>
  <c r="B36" i="6"/>
  <c r="B36" i="1"/>
  <c r="B36" i="5"/>
  <c r="C19" i="1"/>
  <c r="C18" i="1"/>
  <c r="C17" i="1"/>
  <c r="C16" i="1"/>
  <c r="C18" i="5"/>
  <c r="C17" i="5"/>
  <c r="E20" i="1" l="1"/>
  <c r="E19" i="1"/>
  <c r="E18" i="1"/>
  <c r="E17" i="1"/>
  <c r="E16" i="1"/>
  <c r="B21" i="1"/>
  <c r="B20" i="1"/>
  <c r="B19" i="1"/>
  <c r="B18" i="1"/>
  <c r="B17" i="1"/>
  <c r="B16" i="1"/>
  <c r="E21" i="5"/>
  <c r="E20" i="5"/>
  <c r="E19" i="5"/>
  <c r="E18" i="5"/>
  <c r="E17" i="5"/>
  <c r="B21" i="5"/>
  <c r="B20" i="5"/>
  <c r="B19" i="5"/>
  <c r="B18" i="5"/>
  <c r="B17" i="5"/>
  <c r="G24" i="6"/>
  <c r="G25" i="6"/>
  <c r="G26" i="6"/>
  <c r="G24" i="5"/>
  <c r="G25" i="5"/>
  <c r="G26" i="5"/>
  <c r="G24" i="1"/>
  <c r="G25" i="1"/>
  <c r="G26" i="1"/>
  <c r="B29" i="6"/>
  <c r="B29" i="5"/>
  <c r="B29" i="1"/>
  <c r="F24" i="6" l="1"/>
  <c r="F25" i="6"/>
  <c r="F26" i="6"/>
  <c r="E24" i="6"/>
  <c r="I24" i="6" s="1"/>
  <c r="E25" i="6"/>
  <c r="I25" i="6" s="1"/>
  <c r="E26" i="6"/>
  <c r="I26" i="6" s="1"/>
  <c r="C24" i="6"/>
  <c r="C25" i="6"/>
  <c r="C26" i="6"/>
  <c r="F24" i="1"/>
  <c r="F25" i="1"/>
  <c r="F26" i="1"/>
  <c r="E24" i="1"/>
  <c r="I24" i="1" s="1"/>
  <c r="E25" i="1"/>
  <c r="I25" i="1" s="1"/>
  <c r="E26" i="1"/>
  <c r="I26" i="1" s="1"/>
  <c r="C24" i="1"/>
  <c r="C25" i="1"/>
  <c r="C26" i="1"/>
  <c r="F24" i="5"/>
  <c r="F25" i="5"/>
  <c r="F26" i="5"/>
  <c r="E24" i="5"/>
  <c r="E25" i="5"/>
  <c r="I25" i="5" s="1"/>
  <c r="E26" i="5"/>
  <c r="I26" i="5" s="1"/>
  <c r="C24" i="5"/>
  <c r="C25" i="5"/>
  <c r="C26" i="5"/>
  <c r="I24" i="5"/>
  <c r="I7" i="5"/>
  <c r="I8" i="1"/>
  <c r="I28" i="5" l="1"/>
  <c r="I29" i="6"/>
  <c r="I28" i="6"/>
  <c r="I29" i="5"/>
  <c r="I28" i="1"/>
  <c r="I29" i="1"/>
  <c r="I30" i="1" l="1"/>
  <c r="I32" i="1" s="1"/>
  <c r="I30" i="5"/>
  <c r="I32" i="5" s="1"/>
  <c r="I30" i="6" a="1"/>
  <c r="I32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<sst xmlns="http://schemas.openxmlformats.org/spreadsheetml/2006/main" count="255" uniqueCount="153">
  <si>
    <t>Facture</t>
  </si>
  <si>
    <t>Email</t>
  </si>
  <si>
    <t>Date de facture :</t>
  </si>
  <si>
    <t>Date de livraison :</t>
  </si>
  <si>
    <t>Téléphone</t>
  </si>
  <si>
    <t xml:space="preserve">Facturer à : </t>
  </si>
  <si>
    <t>Expédier à :</t>
  </si>
  <si>
    <t>Description</t>
  </si>
  <si>
    <t>Quantité</t>
  </si>
  <si>
    <t>Prix unitaire HT</t>
  </si>
  <si>
    <t>Prix total HT</t>
  </si>
  <si>
    <t>Remarques et instructions de paiement :</t>
  </si>
  <si>
    <t>TOTAL TTC :</t>
  </si>
  <si>
    <t>Acompte</t>
  </si>
  <si>
    <t>TOTAL TVA :</t>
  </si>
  <si>
    <t>TOTAL HT :</t>
  </si>
  <si>
    <t>NET À PAYER :</t>
  </si>
  <si>
    <t>% TVA</t>
  </si>
  <si>
    <t>Adresse 2</t>
  </si>
  <si>
    <t>TVA</t>
  </si>
  <si>
    <t>Siret</t>
  </si>
  <si>
    <t>RCS</t>
  </si>
  <si>
    <t>Pays</t>
  </si>
  <si>
    <t>Remise</t>
  </si>
  <si>
    <t>N° client :</t>
  </si>
  <si>
    <t>Remarques</t>
  </si>
  <si>
    <t>Référence</t>
  </si>
  <si>
    <t>Note de facture</t>
  </si>
  <si>
    <t>Devis</t>
  </si>
  <si>
    <t>Date :</t>
  </si>
  <si>
    <t xml:space="preserve">Valide jusqu'au : </t>
  </si>
  <si>
    <t>Merci de nous retourner ce devis signé avec la mention "Bon pour accord".</t>
  </si>
  <si>
    <t>Référence produit</t>
  </si>
  <si>
    <t>Taux TVA</t>
  </si>
  <si>
    <t>Avoir</t>
  </si>
  <si>
    <t>En remboursement de la facture n° :</t>
  </si>
  <si>
    <t>Dénomination sociale</t>
  </si>
  <si>
    <t>Nom commercial</t>
  </si>
  <si>
    <t>Code postal</t>
  </si>
  <si>
    <t>Ville</t>
  </si>
  <si>
    <t>Adresse</t>
  </si>
  <si>
    <t>Date de l'avoir :</t>
  </si>
  <si>
    <t>Date d'échéance :</t>
  </si>
  <si>
    <t>Ref. commande :</t>
  </si>
  <si>
    <t>Bénéficiaire :</t>
  </si>
  <si>
    <t>S</t>
  </si>
  <si>
    <t xml:space="preserve">Taux de TVA standard </t>
  </si>
  <si>
    <t>E</t>
  </si>
  <si>
    <t xml:space="preserve">Exempté de TVA </t>
  </si>
  <si>
    <t>AE</t>
  </si>
  <si>
    <t xml:space="preserve">Autoliquidation de TVA </t>
  </si>
  <si>
    <t>K</t>
  </si>
  <si>
    <t xml:space="preserve">Autoliquidation pour cause de livraison intracommunautaire </t>
  </si>
  <si>
    <t>G</t>
  </si>
  <si>
    <t xml:space="preserve">Exempté de TVA pour Export hors UE </t>
  </si>
  <si>
    <t>O</t>
  </si>
  <si>
    <t xml:space="preserve">Hors du périmètre d'application de la TVA </t>
  </si>
  <si>
    <t>L</t>
  </si>
  <si>
    <t xml:space="preserve">Iles Canaries </t>
  </si>
  <si>
    <t>M</t>
  </si>
  <si>
    <t>Ceuta et Mellila</t>
  </si>
  <si>
    <t>Catégories de taxe</t>
  </si>
  <si>
    <t xml:space="preserve"> (taux normal, le plus fréquent)</t>
  </si>
  <si>
    <t>(alimentation, restauration, travaux logement)</t>
  </si>
  <si>
    <t>(produits alimentaires de base, équipements handicapés, livres, énergie)</t>
  </si>
  <si>
    <t>(certains médicaments, presse, spectacles vivants)</t>
  </si>
  <si>
    <t>(exportations hors UE, livraisons intracommunautaires)</t>
  </si>
  <si>
    <t>(taux normal pour la majorité des prestations)</t>
  </si>
  <si>
    <t>(services à la personne, hébergement, restauration)</t>
  </si>
  <si>
    <t>(services culturels, rénovation énergétique, abonnements gaz/élec)</t>
  </si>
  <si>
    <t>(certains spectacles ou presse)</t>
  </si>
  <si>
    <t>(prestations intracommunautaires ou exportées hors UE)</t>
  </si>
  <si>
    <r>
      <t>Livraison de biens</t>
    </r>
    <r>
      <rPr>
        <sz val="11"/>
        <color theme="1"/>
        <rFont val="Aptos Narrow"/>
        <family val="2"/>
        <scheme val="minor"/>
      </rPr>
      <t xml:space="preserve"> 
(Vente de produits, de matériel, de marchandises)</t>
    </r>
  </si>
  <si>
    <r>
      <t xml:space="preserve">Prestation de services 
</t>
    </r>
    <r>
      <rPr>
        <sz val="11"/>
        <color theme="1"/>
        <rFont val="Aptos Narrow"/>
        <family val="2"/>
        <scheme val="minor"/>
      </rPr>
      <t>(Conseil, maintenance, formation, transport, services numériques)</t>
    </r>
  </si>
  <si>
    <t>Bien - 20%</t>
  </si>
  <si>
    <t>Bien - 10%</t>
  </si>
  <si>
    <t>Bien - 5,5%</t>
  </si>
  <si>
    <t>Bien - 2,1%</t>
  </si>
  <si>
    <t>Bien - 0%</t>
  </si>
  <si>
    <t>Service - 20%</t>
  </si>
  <si>
    <t>Service - 10%</t>
  </si>
  <si>
    <t>Service - 5,5%</t>
  </si>
  <si>
    <t>Service - 2,1%</t>
  </si>
  <si>
    <t>Service - 0%</t>
  </si>
  <si>
    <t>B1</t>
  </si>
  <si>
    <t>Dépôt d'une facture de bien</t>
  </si>
  <si>
    <t>Facture d'acompte non encore payée</t>
  </si>
  <si>
    <t>S1</t>
  </si>
  <si>
    <t>Dépôt d'une facture de service</t>
  </si>
  <si>
    <t>M1</t>
  </si>
  <si>
    <t>Dépôt d'une facture double</t>
  </si>
  <si>
    <t>B2</t>
  </si>
  <si>
    <t>Dépôt d'une facture de bien déjà payée</t>
  </si>
  <si>
    <t>facture d'acompte déjà payée</t>
  </si>
  <si>
    <t>S2</t>
  </si>
  <si>
    <t>Dépôt d'une facture de service déjà payée</t>
  </si>
  <si>
    <t>M2</t>
  </si>
  <si>
    <t>Dépôt d'une facture double déjà payée</t>
  </si>
  <si>
    <t>B4</t>
  </si>
  <si>
    <t>Dépôt d'une facture définitive (après acompte) de bien</t>
  </si>
  <si>
    <t>facture définitive</t>
  </si>
  <si>
    <t>S4</t>
  </si>
  <si>
    <t>Dépôt d'une facture définitive (après acompte) de service</t>
  </si>
  <si>
    <t>M4</t>
  </si>
  <si>
    <t>Dépôt d'une facture définitive (après acompte) double</t>
  </si>
  <si>
    <t>B7</t>
  </si>
  <si>
    <t>TVA déjà collectée</t>
  </si>
  <si>
    <t>S7</t>
  </si>
  <si>
    <t>M7</t>
  </si>
  <si>
    <t>Cadre de facturation (BT-23)</t>
  </si>
  <si>
    <t>Type TVA</t>
  </si>
  <si>
    <t>Lignes de facture</t>
  </si>
  <si>
    <t>Code postal Ville</t>
  </si>
  <si>
    <t>Divers</t>
  </si>
  <si>
    <t>Si un 0 non souhaité s'affiche dans un cellule censée être vide (ex. email client), vous pouvez simplement entrer un espace dans la cellule correspondante (email de la fiche client)</t>
  </si>
  <si>
    <t>Zones éditables</t>
  </si>
  <si>
    <t>Les zones éditables sont sur fond gris clair</t>
  </si>
  <si>
    <t>Régime de TVA</t>
  </si>
  <si>
    <r>
      <t xml:space="preserve">Pour </t>
    </r>
    <r>
      <rPr>
        <b/>
        <sz val="11"/>
        <color theme="1"/>
        <rFont val="Aptos Narrow"/>
        <family val="2"/>
        <scheme val="minor"/>
      </rPr>
      <t>effacer une référence</t>
    </r>
    <r>
      <rPr>
        <sz val="11"/>
        <color theme="1"/>
        <rFont val="Aptos Narrow"/>
        <family val="2"/>
        <scheme val="minor"/>
      </rPr>
      <t xml:space="preserve"> dans les lignes de facture, faites un clic droit sur la cellule qui ocntient la liste des références -&gt; Effacer le contenu</t>
    </r>
  </si>
  <si>
    <t>Cat</t>
  </si>
  <si>
    <t>Catégorie</t>
  </si>
  <si>
    <t>Regime TVA</t>
  </si>
  <si>
    <t>B</t>
  </si>
  <si>
    <t>Dépôt d'une facture de bien ayant fait l'objet d'un e-reporting (TVA déjà collectée)</t>
  </si>
  <si>
    <t>Dépôt d'une facture de prestation de service ayant fait l'objet d'un e-reporting (TVA déjà collectée)</t>
  </si>
  <si>
    <t>Code ezfacture</t>
  </si>
  <si>
    <t>Numéro client</t>
  </si>
  <si>
    <t>Type</t>
  </si>
  <si>
    <t>Raison sociale</t>
  </si>
  <si>
    <t>SIRET</t>
  </si>
  <si>
    <t>Nom</t>
  </si>
  <si>
    <t>Prénom</t>
  </si>
  <si>
    <t>Facturation adresse 1</t>
  </si>
  <si>
    <t>Facturation adresse 2</t>
  </si>
  <si>
    <t>Facturation CP</t>
  </si>
  <si>
    <t>Facturation Ville</t>
  </si>
  <si>
    <t>Facturation Pays</t>
  </si>
  <si>
    <t>Livraison adresse 1</t>
  </si>
  <si>
    <t>Livraison adresse 2</t>
  </si>
  <si>
    <t>Livraison CP</t>
  </si>
  <si>
    <t>Livraison Ville</t>
  </si>
  <si>
    <t>Livraison Pays</t>
  </si>
  <si>
    <t>Site internet</t>
  </si>
  <si>
    <r>
      <t xml:space="preserve">Pour </t>
    </r>
    <r>
      <rPr>
        <b/>
        <sz val="11"/>
        <color theme="1"/>
        <rFont val="Aptos Narrow"/>
        <family val="2"/>
        <scheme val="minor"/>
      </rPr>
      <t>ajouter une ligne</t>
    </r>
    <r>
      <rPr>
        <sz val="11"/>
        <color theme="1"/>
        <rFont val="Aptos Narrow"/>
        <family val="2"/>
        <scheme val="minor"/>
      </rPr>
      <t xml:space="preserve"> :
1. cliquer  dans une cellule d'une des lignes de facture
2. clic droit &gt; Insérer &gt; Lignes de tableau
</t>
    </r>
  </si>
  <si>
    <t>Données entreprise</t>
  </si>
  <si>
    <t>Pied de page</t>
  </si>
  <si>
    <t>Les factures démarrent au numéro :</t>
  </si>
  <si>
    <t>Les avoirs démarrent au numéro :</t>
  </si>
  <si>
    <t>Retard de paiement</t>
  </si>
  <si>
    <t>Indemnité forfaitaire</t>
  </si>
  <si>
    <t>Escompte</t>
  </si>
  <si>
    <t>Répertoire de sauvegarde json</t>
  </si>
  <si>
    <t>Datée du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</si>
</sst>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€]#,##0.00"/>
    <numFmt numFmtId="165" formatCode="_-* #,##0.00\ _€_-;\-* #,##0.00\ _€_-;_-* &quot;-&quot;??\ _€_-;_-@_-"/>
    <numFmt numFmtId="166" formatCode="0.000"/>
    <numFmt numFmtId="167" formatCode="0.0%"/>
    <numFmt numFmtId="168" formatCode="0#&quot; &quot;##&quot; &quot;##&quot; &quot;##&quot; &quot;##"/>
  </numFmts>
  <fonts count="24" x14ac:knownFonts="1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6"/>
      <name val="Aptos Display"/>
      <family val="2"/>
      <scheme val="major"/>
    </font>
    <font>
      <sz val="10"/>
      <name val="Aptos Display"/>
      <family val="2"/>
      <scheme val="major"/>
    </font>
    <font>
      <sz val="12"/>
      <name val="Aptos Display"/>
      <family val="2"/>
      <scheme val="major"/>
    </font>
    <font>
      <sz val="11"/>
      <color theme="1"/>
      <name val="Aptos Display"/>
      <family val="2"/>
      <scheme val="major"/>
    </font>
    <font>
      <sz val="10"/>
      <color theme="1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sz val="22"/>
      <name val="Aptos Display"/>
      <family val="2"/>
      <scheme val="major"/>
    </font>
    <font>
      <b/>
      <sz val="10"/>
      <name val="Aptos Display"/>
      <family val="2"/>
      <scheme val="major"/>
    </font>
    <font>
      <b/>
      <sz val="9"/>
      <name val="Aptos Display"/>
      <family val="2"/>
      <scheme val="major"/>
    </font>
    <font>
      <b/>
      <sz val="11"/>
      <name val="Aptos Display"/>
      <family val="2"/>
      <scheme val="maj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color theme="1"/>
      <name val="Aptos Display"/>
      <family val="2"/>
      <scheme val="maj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b/>
      <sz val="10"/>
      <color theme="1"/>
      <name val="Aptos Display"/>
      <family val="2"/>
      <scheme val="major"/>
    </font>
    <font>
      <u/>
      <sz val="11"/>
      <color theme="10"/>
      <name val="Aptos Narrow"/>
      <family val="2"/>
      <scheme val="minor"/>
    </font>
    <font>
      <sz val="11"/>
      <color theme="0" tint="-0.499984740745262"/>
      <name val="Aptos Narrow"/>
      <family val="2"/>
      <scheme val="minor"/>
    </font>
    <font>
      <b/>
      <sz val="11"/>
      <color theme="0" tint="-0.499984740745262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34495E"/>
        <bgColor indexed="64"/>
      </patternFill>
    </fill>
    <fill>
      <patternFill patternType="solid">
        <fgColor theme="0" tint="-0.14999847407452621"/>
        <bgColor rgb="FF5D7079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rgb="FFF2F5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2F5F7"/>
        <bgColor indexed="64"/>
      </patternFill>
    </fill>
  </fills>
  <borders count="21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medium">
        <color rgb="FFFFFFFF"/>
      </bottom>
      <diagonal/>
    </border>
    <border>
      <left style="dotted">
        <color auto="1"/>
      </left>
      <right style="dotted">
        <color auto="1"/>
      </right>
      <top/>
      <bottom/>
      <diagonal/>
    </border>
    <border>
      <left style="dotted">
        <color auto="1"/>
      </left>
      <right/>
      <top/>
      <bottom/>
      <diagonal/>
    </border>
    <border>
      <left style="thin">
        <color auto="1"/>
      </left>
      <right style="dotted">
        <color auto="1"/>
      </right>
      <top/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/>
      <bottom style="thin">
        <color indexed="64"/>
      </bottom>
      <diagonal/>
    </border>
    <border>
      <left/>
      <right style="dotted">
        <color auto="1"/>
      </right>
      <top/>
      <bottom/>
      <diagonal/>
    </border>
  </borders>
  <cellStyleXfs count="5">
    <xf numFmtId="0" fontId="0" fillId="0" borderId="0"/>
    <xf numFmtId="0" fontId="1" fillId="0" borderId="0"/>
    <xf numFmtId="9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0" fontId="21" fillId="0" borderId="0" applyNumberFormat="0" applyFill="0" applyBorder="0" applyAlignment="0" applyProtection="0"/>
  </cellStyleXfs>
  <cellXfs count="182">
    <xf numFmtId="0" fontId="0" fillId="0" borderId="0" xfId="0"/>
    <xf numFmtId="0" fontId="5" fillId="0" borderId="0" xfId="0" applyFont="1" applyAlignment="1">
      <alignment vertical="center"/>
    </xf>
    <xf numFmtId="0" fontId="6" fillId="0" borderId="0" xfId="1" applyFont="1"/>
    <xf numFmtId="0" fontId="7" fillId="0" borderId="0" xfId="1" applyFont="1"/>
    <xf numFmtId="0" fontId="5" fillId="0" borderId="0" xfId="0" applyFont="1"/>
    <xf numFmtId="0" fontId="6" fillId="0" borderId="0" xfId="1" applyFont="1" applyAlignment="1">
      <alignment horizontal="left"/>
    </xf>
    <xf numFmtId="0" fontId="5" fillId="0" borderId="0" xfId="0" applyFont="1" applyAlignment="1">
      <alignment wrapText="1"/>
    </xf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164" fontId="3" fillId="0" borderId="0" xfId="1" applyNumberFormat="1" applyFont="1"/>
    <xf numFmtId="0" fontId="3" fillId="0" borderId="0" xfId="1" applyFont="1"/>
    <xf numFmtId="0" fontId="5" fillId="2" borderId="0" xfId="0" applyFont="1" applyFill="1"/>
    <xf numFmtId="0" fontId="8" fillId="0" borderId="0" xfId="1" applyFont="1" applyAlignment="1">
      <alignment horizontal="right" vertical="center"/>
    </xf>
    <xf numFmtId="0" fontId="3" fillId="0" borderId="0" xfId="1" applyFont="1" applyAlignment="1">
      <alignment horizontal="center" vertical="center" wrapText="1"/>
    </xf>
    <xf numFmtId="0" fontId="10" fillId="0" borderId="0" xfId="1" applyFont="1" applyAlignment="1">
      <alignment horizontal="right"/>
    </xf>
    <xf numFmtId="0" fontId="11" fillId="0" borderId="0" xfId="1" applyFont="1" applyAlignment="1">
      <alignment horizontal="right"/>
    </xf>
    <xf numFmtId="164" fontId="2" fillId="0" borderId="0" xfId="1" applyNumberFormat="1" applyFont="1"/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0" fillId="0" borderId="4" xfId="0" applyBorder="1" applyAlignment="1">
      <alignment horizontal="left" vertical="center" indent="1"/>
    </xf>
    <xf numFmtId="0" fontId="0" fillId="0" borderId="4" xfId="0" applyBorder="1" applyAlignment="1" applyProtection="1">
      <alignment vertical="center"/>
      <protection locked="0"/>
    </xf>
    <xf numFmtId="0" fontId="16" fillId="0" borderId="0" xfId="0" applyFont="1"/>
    <xf numFmtId="0" fontId="17" fillId="0" borderId="0" xfId="0" applyFont="1"/>
    <xf numFmtId="49" fontId="17" fillId="0" borderId="0" xfId="0" applyNumberFormat="1" applyFont="1"/>
    <xf numFmtId="0" fontId="0" fillId="0" borderId="0" xfId="0" applyAlignment="1">
      <alignment horizontal="left"/>
    </xf>
    <xf numFmtId="0" fontId="14" fillId="0" borderId="6" xfId="0" applyFont="1" applyBorder="1" applyAlignment="1">
      <alignment vertical="center"/>
    </xf>
    <xf numFmtId="0" fontId="14" fillId="0" borderId="4" xfId="0" applyFont="1" applyBorder="1" applyAlignment="1">
      <alignment vertical="center" wrapText="1"/>
    </xf>
    <xf numFmtId="2" fontId="14" fillId="0" borderId="4" xfId="0" applyNumberFormat="1" applyFont="1" applyBorder="1" applyAlignment="1">
      <alignment horizontal="left" vertical="center" wrapText="1"/>
    </xf>
    <xf numFmtId="2" fontId="0" fillId="0" borderId="4" xfId="0" applyNumberFormat="1" applyBorder="1" applyAlignment="1" applyProtection="1">
      <alignment horizontal="left" vertical="center"/>
      <protection locked="0"/>
    </xf>
    <xf numFmtId="0" fontId="14" fillId="0" borderId="4" xfId="0" applyFont="1" applyBorder="1" applyAlignment="1">
      <alignment horizontal="left" vertical="center"/>
    </xf>
    <xf numFmtId="10" fontId="0" fillId="0" borderId="4" xfId="2" applyNumberFormat="1" applyFont="1" applyFill="1" applyBorder="1" applyAlignment="1" applyProtection="1">
      <alignment horizontal="left" vertical="center"/>
      <protection locked="0"/>
    </xf>
    <xf numFmtId="0" fontId="14" fillId="0" borderId="5" xfId="0" applyFont="1" applyBorder="1" applyAlignment="1">
      <alignment vertical="center" wrapText="1"/>
    </xf>
    <xf numFmtId="49" fontId="0" fillId="0" borderId="5" xfId="0" applyNumberFormat="1" applyBorder="1" applyAlignment="1" applyProtection="1">
      <alignment vertical="center"/>
      <protection locked="0"/>
    </xf>
    <xf numFmtId="0" fontId="2" fillId="0" borderId="0" xfId="1" applyFont="1" applyAlignment="1" applyProtection="1">
      <alignment vertical="center"/>
      <protection locked="0"/>
    </xf>
    <xf numFmtId="0" fontId="3" fillId="0" borderId="0" xfId="1" applyFont="1" applyAlignment="1" applyProtection="1">
      <alignment vertical="center"/>
      <protection locked="0"/>
    </xf>
    <xf numFmtId="0" fontId="8" fillId="0" borderId="0" xfId="1" applyFont="1" applyAlignment="1" applyProtection="1">
      <alignment horizontal="right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7" fillId="0" borderId="0" xfId="1" applyFont="1" applyProtection="1">
      <protection locked="0"/>
    </xf>
    <xf numFmtId="0" fontId="5" fillId="0" borderId="0" xfId="0" applyFont="1" applyAlignment="1" applyProtection="1">
      <alignment vertical="center"/>
      <protection locked="0"/>
    </xf>
    <xf numFmtId="0" fontId="6" fillId="0" borderId="0" xfId="1" applyFont="1" applyProtection="1">
      <protection locked="0"/>
    </xf>
    <xf numFmtId="0" fontId="6" fillId="0" borderId="0" xfId="1" applyFont="1" applyAlignment="1" applyProtection="1">
      <alignment horizontal="left"/>
      <protection locked="0"/>
    </xf>
    <xf numFmtId="0" fontId="5" fillId="0" borderId="0" xfId="0" applyFont="1" applyProtection="1">
      <protection locked="0"/>
    </xf>
    <xf numFmtId="0" fontId="6" fillId="0" borderId="0" xfId="1" applyFont="1" applyAlignment="1" applyProtection="1">
      <alignment horizontal="right"/>
      <protection locked="0"/>
    </xf>
    <xf numFmtId="0" fontId="10" fillId="0" borderId="0" xfId="1" applyFont="1" applyAlignment="1" applyProtection="1">
      <alignment horizontal="right"/>
      <protection locked="0"/>
    </xf>
    <xf numFmtId="0" fontId="11" fillId="0" borderId="0" xfId="1" applyFont="1" applyAlignment="1" applyProtection="1">
      <alignment horizontal="right"/>
      <protection locked="0"/>
    </xf>
    <xf numFmtId="0" fontId="17" fillId="0" borderId="0" xfId="0" applyFont="1" applyProtection="1">
      <protection locked="0"/>
    </xf>
    <xf numFmtId="49" fontId="17" fillId="0" borderId="0" xfId="0" applyNumberFormat="1" applyFont="1" applyProtection="1">
      <protection locked="0"/>
    </xf>
    <xf numFmtId="0" fontId="16" fillId="0" borderId="0" xfId="0" applyFont="1" applyProtection="1">
      <protection locked="0"/>
    </xf>
    <xf numFmtId="0" fontId="9" fillId="3" borderId="0" xfId="1" applyFont="1" applyFill="1" applyAlignment="1" applyProtection="1">
      <alignment vertical="center"/>
      <protection locked="0"/>
    </xf>
    <xf numFmtId="0" fontId="3" fillId="4" borderId="0" xfId="1" applyFont="1" applyFill="1" applyProtection="1">
      <protection locked="0"/>
    </xf>
    <xf numFmtId="0" fontId="9" fillId="3" borderId="0" xfId="1" applyFont="1" applyFill="1" applyProtection="1">
      <protection locked="0"/>
    </xf>
    <xf numFmtId="0" fontId="6" fillId="5" borderId="3" xfId="1" applyFont="1" applyFill="1" applyBorder="1" applyAlignment="1" applyProtection="1">
      <alignment vertical="center"/>
      <protection locked="0"/>
    </xf>
    <xf numFmtId="164" fontId="6" fillId="5" borderId="3" xfId="1" applyNumberFormat="1" applyFont="1" applyFill="1" applyBorder="1" applyAlignment="1" applyProtection="1">
      <alignment vertical="center"/>
      <protection locked="0"/>
    </xf>
    <xf numFmtId="0" fontId="6" fillId="6" borderId="8" xfId="1" applyFont="1" applyFill="1" applyBorder="1"/>
    <xf numFmtId="0" fontId="6" fillId="6" borderId="8" xfId="1" applyFont="1" applyFill="1" applyBorder="1" applyAlignment="1">
      <alignment horizontal="left"/>
    </xf>
    <xf numFmtId="0" fontId="6" fillId="6" borderId="7" xfId="1" applyFont="1" applyFill="1" applyBorder="1" applyAlignment="1">
      <alignment horizontal="left"/>
    </xf>
    <xf numFmtId="0" fontId="6" fillId="6" borderId="9" xfId="1" applyFont="1" applyFill="1" applyBorder="1"/>
    <xf numFmtId="0" fontId="6" fillId="5" borderId="0" xfId="1" applyFont="1" applyFill="1" applyAlignment="1" applyProtection="1">
      <alignment vertical="center"/>
      <protection locked="0"/>
    </xf>
    <xf numFmtId="164" fontId="6" fillId="5" borderId="0" xfId="1" applyNumberFormat="1" applyFont="1" applyFill="1" applyAlignment="1" applyProtection="1">
      <alignment vertical="center"/>
      <protection locked="0"/>
    </xf>
    <xf numFmtId="2" fontId="2" fillId="0" borderId="0" xfId="1" applyNumberFormat="1" applyFont="1" applyAlignment="1" applyProtection="1">
      <alignment horizontal="left" vertical="center"/>
      <protection locked="0"/>
    </xf>
    <xf numFmtId="2" fontId="6" fillId="0" borderId="0" xfId="1" applyNumberFormat="1" applyFont="1" applyAlignment="1" applyProtection="1">
      <alignment horizontal="left"/>
      <protection locked="0"/>
    </xf>
    <xf numFmtId="2" fontId="5" fillId="0" borderId="0" xfId="0" applyNumberFormat="1" applyFont="1" applyProtection="1">
      <protection locked="0"/>
    </xf>
    <xf numFmtId="2" fontId="9" fillId="3" borderId="0" xfId="1" applyNumberFormat="1" applyFont="1" applyFill="1" applyAlignment="1" applyProtection="1">
      <alignment vertical="center"/>
      <protection locked="0"/>
    </xf>
    <xf numFmtId="2" fontId="6" fillId="5" borderId="3" xfId="1" applyNumberFormat="1" applyFont="1" applyFill="1" applyBorder="1" applyAlignment="1" applyProtection="1">
      <alignment vertical="center"/>
      <protection locked="0"/>
    </xf>
    <xf numFmtId="2" fontId="6" fillId="5" borderId="0" xfId="1" applyNumberFormat="1" applyFont="1" applyFill="1" applyAlignment="1" applyProtection="1">
      <alignment vertical="center"/>
      <protection locked="0"/>
    </xf>
    <xf numFmtId="2" fontId="7" fillId="0" borderId="0" xfId="1" applyNumberFormat="1" applyFont="1" applyProtection="1">
      <protection locked="0"/>
    </xf>
    <xf numFmtId="2" fontId="16" fillId="0" borderId="0" xfId="0" applyNumberFormat="1" applyFont="1" applyProtection="1">
      <protection locked="0"/>
    </xf>
    <xf numFmtId="0" fontId="3" fillId="0" borderId="0" xfId="1" applyFont="1" applyProtection="1">
      <protection locked="0"/>
    </xf>
    <xf numFmtId="0" fontId="3" fillId="0" borderId="0" xfId="1" applyFont="1" applyAlignment="1" applyProtection="1">
      <alignment horizontal="left"/>
      <protection locked="0"/>
    </xf>
    <xf numFmtId="0" fontId="3" fillId="0" borderId="0" xfId="1" applyFont="1" applyAlignment="1" applyProtection="1">
      <alignment horizontal="right" vertical="center"/>
      <protection locked="0"/>
    </xf>
    <xf numFmtId="0" fontId="3" fillId="0" borderId="0" xfId="1" applyFont="1" applyAlignment="1" applyProtection="1">
      <alignment horizontal="right"/>
      <protection locked="0"/>
    </xf>
    <xf numFmtId="164" fontId="3" fillId="6" borderId="0" xfId="1" applyNumberFormat="1" applyFont="1" applyFill="1" applyProtection="1">
      <protection locked="0"/>
    </xf>
    <xf numFmtId="0" fontId="5" fillId="2" borderId="0" xfId="0" applyFont="1" applyFill="1" applyProtection="1">
      <protection locked="0"/>
    </xf>
    <xf numFmtId="2" fontId="5" fillId="2" borderId="0" xfId="0" applyNumberFormat="1" applyFont="1" applyFill="1" applyProtection="1">
      <protection locked="0"/>
    </xf>
    <xf numFmtId="0" fontId="4" fillId="0" borderId="0" xfId="1" applyFont="1" applyAlignment="1" applyProtection="1">
      <alignment horizontal="right" vertical="center"/>
      <protection locked="0"/>
    </xf>
    <xf numFmtId="0" fontId="5" fillId="0" borderId="0" xfId="0" applyFont="1" applyAlignment="1" applyProtection="1">
      <alignment wrapText="1"/>
      <protection locked="0"/>
    </xf>
    <xf numFmtId="0" fontId="19" fillId="0" borderId="0" xfId="0" applyFont="1" applyProtection="1">
      <protection locked="0"/>
    </xf>
    <xf numFmtId="164" fontId="6" fillId="0" borderId="0" xfId="1" applyNumberFormat="1" applyFont="1" applyAlignment="1">
      <alignment vertical="center"/>
    </xf>
    <xf numFmtId="49" fontId="6" fillId="0" borderId="0" xfId="1" applyNumberFormat="1" applyFont="1" applyAlignment="1" applyProtection="1">
      <alignment horizontal="left"/>
      <protection locked="0"/>
    </xf>
    <xf numFmtId="49" fontId="7" fillId="0" borderId="0" xfId="1" applyNumberFormat="1" applyFont="1" applyProtection="1">
      <protection locked="0"/>
    </xf>
    <xf numFmtId="49" fontId="6" fillId="0" borderId="0" xfId="1" applyNumberFormat="1" applyFont="1" applyProtection="1">
      <protection locked="0"/>
    </xf>
    <xf numFmtId="49" fontId="3" fillId="0" borderId="0" xfId="1" applyNumberFormat="1" applyFont="1" applyAlignment="1" applyProtection="1">
      <alignment horizontal="left"/>
      <protection locked="0"/>
    </xf>
    <xf numFmtId="49" fontId="3" fillId="0" borderId="0" xfId="1" applyNumberFormat="1" applyFont="1" applyProtection="1">
      <protection locked="0"/>
    </xf>
    <xf numFmtId="0" fontId="13" fillId="0" borderId="0" xfId="0" applyFont="1"/>
    <xf numFmtId="0" fontId="0" fillId="0" borderId="0" xfId="0" applyAlignment="1">
      <alignment vertical="center" wrapText="1"/>
    </xf>
    <xf numFmtId="0" fontId="13" fillId="0" borderId="0" xfId="0" applyFont="1" applyAlignment="1">
      <alignment vertical="center" wrapText="1"/>
    </xf>
    <xf numFmtId="9" fontId="13" fillId="0" borderId="0" xfId="0" applyNumberFormat="1" applyFont="1" applyAlignment="1">
      <alignment vertical="center" wrapText="1"/>
    </xf>
    <xf numFmtId="10" fontId="13" fillId="0" borderId="0" xfId="0" applyNumberFormat="1" applyFont="1" applyAlignment="1">
      <alignment vertical="center" wrapText="1"/>
    </xf>
    <xf numFmtId="0" fontId="13" fillId="0" borderId="0" xfId="0" applyFont="1" applyAlignment="1">
      <alignment wrapText="1"/>
    </xf>
    <xf numFmtId="0" fontId="13" fillId="0" borderId="10" xfId="0" applyFont="1" applyBorder="1" applyAlignment="1">
      <alignment vertical="center" wrapText="1"/>
    </xf>
    <xf numFmtId="9" fontId="13" fillId="0" borderId="10" xfId="0" applyNumberFormat="1" applyFont="1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13" fillId="0" borderId="0" xfId="0" applyFont="1" applyAlignment="1">
      <alignment horizontal="left"/>
    </xf>
    <xf numFmtId="166" fontId="6" fillId="5" borderId="3" xfId="1" applyNumberFormat="1" applyFont="1" applyFill="1" applyBorder="1" applyAlignment="1" applyProtection="1">
      <alignment vertical="center"/>
      <protection locked="0"/>
    </xf>
    <xf numFmtId="166" fontId="6" fillId="5" borderId="0" xfId="1" applyNumberFormat="1" applyFont="1" applyFill="1" applyAlignment="1" applyProtection="1">
      <alignment vertical="center"/>
      <protection locked="0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9" fillId="0" borderId="0" xfId="1" applyFont="1" applyAlignment="1" applyProtection="1">
      <alignment vertical="center"/>
      <protection locked="0"/>
    </xf>
    <xf numFmtId="0" fontId="5" fillId="6" borderId="0" xfId="0" applyFont="1" applyFill="1"/>
    <xf numFmtId="0" fontId="6" fillId="5" borderId="1" xfId="1" applyFont="1" applyFill="1" applyBorder="1" applyAlignment="1" applyProtection="1">
      <alignment horizontal="left"/>
      <protection locked="0"/>
    </xf>
    <xf numFmtId="14" fontId="6" fillId="5" borderId="2" xfId="1" applyNumberFormat="1" applyFont="1" applyFill="1" applyBorder="1" applyAlignment="1" applyProtection="1">
      <alignment horizontal="left"/>
      <protection locked="0"/>
    </xf>
    <xf numFmtId="0" fontId="6" fillId="5" borderId="2" xfId="1" applyFont="1" applyFill="1" applyBorder="1" applyAlignment="1" applyProtection="1">
      <alignment horizontal="left"/>
      <protection locked="0"/>
    </xf>
    <xf numFmtId="0" fontId="6" fillId="5" borderId="1" xfId="1" applyFont="1" applyFill="1" applyBorder="1" applyAlignment="1">
      <alignment horizontal="left"/>
    </xf>
    <xf numFmtId="14" fontId="6" fillId="5" borderId="2" xfId="1" applyNumberFormat="1" applyFont="1" applyFill="1" applyBorder="1" applyAlignment="1">
      <alignment horizontal="left"/>
    </xf>
    <xf numFmtId="0" fontId="6" fillId="5" borderId="2" xfId="1" applyFont="1" applyFill="1" applyBorder="1" applyAlignment="1">
      <alignment horizontal="left"/>
    </xf>
    <xf numFmtId="0" fontId="3" fillId="6" borderId="0" xfId="1" applyFont="1" applyFill="1" applyAlignment="1">
      <alignment vertical="center"/>
    </xf>
    <xf numFmtId="0" fontId="3" fillId="7" borderId="0" xfId="1" applyFont="1" applyFill="1" applyAlignment="1">
      <alignment vertical="center"/>
    </xf>
    <xf numFmtId="0" fontId="6" fillId="0" borderId="8" xfId="1" applyFont="1" applyBorder="1" applyAlignment="1">
      <alignment horizontal="left"/>
    </xf>
    <xf numFmtId="0" fontId="20" fillId="0" borderId="0" xfId="1" applyFont="1" applyAlignment="1" applyProtection="1">
      <alignment horizontal="left"/>
      <protection locked="0"/>
    </xf>
    <xf numFmtId="167" fontId="6" fillId="5" borderId="3" xfId="2" applyNumberFormat="1" applyFont="1" applyFill="1" applyBorder="1" applyAlignment="1" applyProtection="1">
      <alignment vertical="center"/>
      <protection locked="0"/>
    </xf>
    <xf numFmtId="167" fontId="6" fillId="5" borderId="0" xfId="2" applyNumberFormat="1" applyFont="1" applyFill="1" applyAlignment="1" applyProtection="1">
      <alignment vertical="center"/>
      <protection locked="0"/>
    </xf>
    <xf numFmtId="164" fontId="3" fillId="6" borderId="0" xfId="1" applyNumberFormat="1" applyFont="1" applyFill="1"/>
    <xf numFmtId="164" fontId="3" fillId="0" borderId="0" xfId="1" applyNumberFormat="1" applyFont="1" applyProtection="1">
      <protection locked="0"/>
    </xf>
    <xf numFmtId="0" fontId="9" fillId="3" borderId="11" xfId="1" applyFont="1" applyFill="1" applyBorder="1" applyAlignment="1" applyProtection="1">
      <alignment vertical="center"/>
      <protection locked="0"/>
    </xf>
    <xf numFmtId="0" fontId="9" fillId="3" borderId="12" xfId="1" applyFont="1" applyFill="1" applyBorder="1" applyAlignment="1" applyProtection="1">
      <alignment vertical="center"/>
      <protection locked="0"/>
    </xf>
    <xf numFmtId="0" fontId="9" fillId="3" borderId="13" xfId="1" applyFont="1" applyFill="1" applyBorder="1" applyAlignment="1" applyProtection="1">
      <alignment vertical="center"/>
      <protection locked="0"/>
    </xf>
    <xf numFmtId="49" fontId="6" fillId="6" borderId="7" xfId="0" applyNumberFormat="1" applyFont="1" applyFill="1" applyBorder="1"/>
    <xf numFmtId="0" fontId="14" fillId="0" borderId="5" xfId="0" applyFont="1" applyBorder="1" applyAlignment="1">
      <alignment horizontal="left" vertical="center"/>
    </xf>
    <xf numFmtId="10" fontId="0" fillId="0" borderId="5" xfId="2" applyNumberFormat="1" applyFont="1" applyFill="1" applyBorder="1" applyAlignment="1" applyProtection="1">
      <alignment horizontal="left" vertical="center"/>
      <protection locked="0"/>
    </xf>
    <xf numFmtId="0" fontId="13" fillId="0" borderId="10" xfId="0" applyFont="1" applyBorder="1"/>
    <xf numFmtId="0" fontId="13" fillId="0" borderId="19" xfId="0" applyFont="1" applyBorder="1"/>
    <xf numFmtId="9" fontId="13" fillId="0" borderId="19" xfId="0" applyNumberFormat="1" applyFont="1" applyBorder="1" applyAlignment="1">
      <alignment vertical="center" wrapText="1"/>
    </xf>
    <xf numFmtId="0" fontId="0" fillId="0" borderId="19" xfId="0" applyBorder="1" applyAlignment="1">
      <alignment vertical="center" wrapText="1"/>
    </xf>
    <xf numFmtId="0" fontId="13" fillId="0" borderId="19" xfId="0" applyFont="1" applyBorder="1" applyAlignment="1">
      <alignment vertical="center" wrapText="1"/>
    </xf>
    <xf numFmtId="0" fontId="0" fillId="0" borderId="0" xfId="0" applyAlignment="1">
      <alignment wrapText="1"/>
    </xf>
    <xf numFmtId="0" fontId="14" fillId="0" borderId="6" xfId="0" applyFont="1" applyBorder="1" applyAlignment="1">
      <alignment vertical="center" wrapText="1"/>
    </xf>
    <xf numFmtId="0" fontId="14" fillId="0" borderId="20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4" fillId="0" borderId="4" xfId="0" applyFont="1" applyBorder="1" applyAlignment="1">
      <alignment horizontal="center" vertical="center"/>
    </xf>
    <xf numFmtId="168" fontId="14" fillId="0" borderId="4" xfId="0" applyNumberFormat="1" applyFont="1" applyBorder="1" applyAlignment="1">
      <alignment horizontal="left" vertical="center"/>
    </xf>
    <xf numFmtId="0" fontId="14" fillId="0" borderId="5" xfId="0" applyFont="1" applyBorder="1" applyAlignment="1">
      <alignment vertical="center"/>
    </xf>
    <xf numFmtId="0" fontId="13" fillId="0" borderId="4" xfId="0" applyFont="1" applyBorder="1" applyAlignment="1" applyProtection="1">
      <alignment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168" fontId="0" fillId="0" borderId="4" xfId="0" applyNumberFormat="1" applyBorder="1" applyAlignment="1" applyProtection="1">
      <alignment horizontal="left" vertical="center"/>
      <protection locked="0"/>
    </xf>
    <xf numFmtId="0" fontId="21" fillId="0" borderId="4" xfId="4" applyBorder="1" applyAlignment="1" applyProtection="1">
      <alignment vertical="center"/>
      <protection locked="0"/>
    </xf>
    <xf numFmtId="0" fontId="0" fillId="0" borderId="5" xfId="0" applyBorder="1" applyAlignment="1" applyProtection="1">
      <alignment vertical="center"/>
      <protection locked="0"/>
    </xf>
    <xf numFmtId="49" fontId="6" fillId="6" borderId="7" xfId="0" applyNumberFormat="1" applyFont="1" applyFill="1" applyBorder="1" applyAlignment="1">
      <alignment wrapText="1"/>
    </xf>
    <xf numFmtId="49" fontId="9" fillId="6" borderId="0" xfId="0" applyNumberFormat="1" applyFont="1" applyFill="1"/>
    <xf numFmtId="0" fontId="0" fillId="6" borderId="0" xfId="0" applyFill="1" applyAlignment="1">
      <alignment wrapText="1"/>
    </xf>
    <xf numFmtId="0" fontId="23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49" fontId="6" fillId="6" borderId="0" xfId="1" applyNumberFormat="1" applyFont="1" applyFill="1"/>
    <xf numFmtId="49" fontId="6" fillId="6" borderId="8" xfId="1" applyNumberFormat="1" applyFont="1" applyFill="1" applyBorder="1"/>
    <xf numFmtId="49" fontId="6" fillId="6" borderId="8" xfId="1" applyNumberFormat="1" applyFont="1" applyFill="1" applyBorder="1" applyAlignment="1">
      <alignment horizontal="left"/>
    </xf>
    <xf numFmtId="49" fontId="5" fillId="6" borderId="0" xfId="0" applyNumberFormat="1" applyFont="1" applyFill="1" applyProtection="1">
      <protection locked="0"/>
    </xf>
    <xf numFmtId="49" fontId="5" fillId="6" borderId="8" xfId="0" applyNumberFormat="1" applyFont="1" applyFill="1" applyBorder="1"/>
    <xf numFmtId="49" fontId="6" fillId="6" borderId="7" xfId="1" applyNumberFormat="1" applyFont="1" applyFill="1" applyBorder="1" applyAlignment="1">
      <alignment horizontal="left"/>
    </xf>
    <xf numFmtId="0" fontId="6" fillId="6" borderId="7" xfId="1" applyFont="1" applyFill="1" applyBorder="1"/>
    <xf numFmtId="49" fontId="6" fillId="5" borderId="1" xfId="1" applyNumberFormat="1" applyFont="1" applyFill="1" applyBorder="1" applyAlignment="1">
      <alignment horizontal="left"/>
    </xf>
    <xf numFmtId="49" fontId="6" fillId="5" borderId="1" xfId="1" applyNumberFormat="1" applyFont="1" applyFill="1" applyBorder="1" applyAlignment="1" applyProtection="1">
      <alignment horizontal="left"/>
      <protection locked="0"/>
    </xf>
    <xf numFmtId="14" fontId="6" fillId="5" borderId="1" xfId="1" applyNumberFormat="1" applyFont="1" applyFill="1" applyBorder="1" applyAlignment="1">
      <alignment horizontal="left"/>
    </xf>
    <xf numFmtId="20" fontId="5" fillId="0" borderId="0" xfId="0" applyNumberFormat="1" applyFont="1" applyAlignment="1">
      <alignment vertical="center"/>
    </xf>
    <xf numFmtId="0" fontId="9" fillId="6" borderId="0" xfId="1" applyFont="1" applyFill="1" applyAlignment="1" applyProtection="1">
      <alignment horizontal="center" vertical="center" wrapText="1"/>
      <protection locked="0"/>
    </xf>
    <xf numFmtId="0" fontId="3" fillId="6" borderId="0" xfId="1" applyFont="1" applyFill="1" applyAlignment="1" applyProtection="1">
      <alignment horizontal="center" vertical="center" wrapText="1"/>
      <protection locked="0"/>
    </xf>
    <xf numFmtId="0" fontId="3" fillId="6" borderId="0" xfId="1" applyFont="1" applyFill="1" applyProtection="1">
      <protection locked="0"/>
    </xf>
    <xf numFmtId="0" fontId="3" fillId="0" borderId="0" xfId="1" applyFont="1" applyAlignment="1">
      <alignment horizontal="center" vertical="center" wrapText="1"/>
    </xf>
    <xf numFmtId="0" fontId="3" fillId="0" borderId="0" xfId="1" applyFont="1"/>
    <xf numFmtId="0" fontId="9" fillId="3" borderId="11" xfId="1" applyFont="1" applyFill="1" applyBorder="1" applyAlignment="1" applyProtection="1">
      <alignment horizontal="center" vertical="center"/>
      <protection locked="0"/>
    </xf>
    <xf numFmtId="0" fontId="9" fillId="3" borderId="12" xfId="1" applyFont="1" applyFill="1" applyBorder="1" applyAlignment="1" applyProtection="1">
      <alignment horizontal="center" vertical="center"/>
      <protection locked="0"/>
    </xf>
    <xf numFmtId="0" fontId="9" fillId="3" borderId="13" xfId="1" applyFont="1" applyFill="1" applyBorder="1" applyAlignment="1" applyProtection="1">
      <alignment horizontal="center" vertical="center"/>
      <protection locked="0"/>
    </xf>
    <xf numFmtId="0" fontId="15" fillId="0" borderId="14" xfId="1" applyFont="1" applyBorder="1" applyAlignment="1">
      <alignment horizontal="center" wrapText="1"/>
    </xf>
    <xf numFmtId="0" fontId="15" fillId="0" borderId="0" xfId="1" applyFont="1" applyAlignment="1">
      <alignment horizontal="center" wrapText="1"/>
    </xf>
    <xf numFmtId="0" fontId="15" fillId="0" borderId="15" xfId="1" applyFont="1" applyBorder="1" applyAlignment="1">
      <alignment horizontal="center" wrapText="1"/>
    </xf>
    <xf numFmtId="0" fontId="15" fillId="0" borderId="16" xfId="1" applyFont="1" applyBorder="1" applyAlignment="1">
      <alignment horizontal="center" wrapText="1"/>
    </xf>
    <xf numFmtId="0" fontId="15" fillId="0" borderId="17" xfId="1" applyFont="1" applyBorder="1" applyAlignment="1">
      <alignment horizontal="center" wrapText="1"/>
    </xf>
    <xf numFmtId="0" fontId="15" fillId="0" borderId="18" xfId="1" applyFont="1" applyBorder="1" applyAlignment="1">
      <alignment horizontal="center" wrapText="1"/>
    </xf>
    <xf numFmtId="0" fontId="9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/>
    </xf>
    <xf numFmtId="0" fontId="6" fillId="6" borderId="14" xfId="1" applyFont="1" applyFill="1" applyBorder="1" applyAlignment="1">
      <alignment horizontal="center"/>
    </xf>
    <xf numFmtId="0" fontId="6" fillId="6" borderId="0" xfId="1" applyFont="1" applyFill="1" applyAlignment="1">
      <alignment horizontal="center"/>
    </xf>
    <xf numFmtId="0" fontId="6" fillId="6" borderId="15" xfId="1" applyFont="1" applyFill="1" applyBorder="1" applyAlignment="1">
      <alignment horizontal="center"/>
    </xf>
    <xf numFmtId="0" fontId="6" fillId="6" borderId="16" xfId="1" applyFont="1" applyFill="1" applyBorder="1" applyAlignment="1">
      <alignment horizontal="center"/>
    </xf>
    <xf numFmtId="0" fontId="6" fillId="6" borderId="17" xfId="1" applyFont="1" applyFill="1" applyBorder="1" applyAlignment="1">
      <alignment horizontal="center"/>
    </xf>
    <xf numFmtId="0" fontId="6" fillId="6" borderId="18" xfId="1" applyFont="1" applyFill="1" applyBorder="1" applyAlignment="1">
      <alignment horizontal="center"/>
    </xf>
    <xf numFmtId="0" fontId="9" fillId="6" borderId="0" xfId="1" applyFont="1" applyFill="1" applyAlignment="1">
      <alignment horizontal="center" vertical="center" wrapText="1"/>
    </xf>
    <xf numFmtId="0" fontId="3" fillId="6" borderId="0" xfId="1" applyFont="1" applyFill="1" applyAlignment="1">
      <alignment horizontal="center" vertical="center" wrapText="1"/>
    </xf>
    <xf numFmtId="0" fontId="3" fillId="6" borderId="0" xfId="1" applyFont="1" applyFill="1"/>
  </cellXfs>
  <cellStyles count="5">
    <cellStyle name="Lien hypertexte" xfId="4" builtinId="8"/>
    <cellStyle name="Milliers 2" xfId="3" xr:uid="{E7AEBA48-2341-4968-B5FA-857379BBD59D}"/>
    <cellStyle name="Normal" xfId="0" builtinId="0"/>
    <cellStyle name="Normal 2" xfId="1" xr:uid="{A5277702-A220-4FD9-BE5C-BE9808F54BD3}"/>
    <cellStyle name="Pourcentage" xfId="2" builtinId="5"/>
  </cellStyles>
  <dxfs count="67">
    <dxf>
      <numFmt numFmtId="30" formatCode="@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/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</border>
      <protection locked="0" hidden="0"/>
    </dxf>
    <dxf>
      <numFmt numFmtId="2" formatCode="0.00"/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numFmt numFmtId="2" formatCode="0.00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right style="dotted">
          <color auto="1"/>
        </right>
        <top style="thin">
          <color auto="1"/>
        </top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/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numFmt numFmtId="168" formatCode="0#&quot; &quot;##&quot; &quot;##&quot; &quot;##&quot; &quot;##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numFmt numFmtId="168" formatCode="0#&quot; &quot;##&quot; &quot;##&quot; &quot;##&quot; &quot;##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  <protection locked="0" hidden="0"/>
    </dxf>
    <dxf>
      <fill>
        <patternFill patternType="none">
          <fgColor indexed="64"/>
          <bgColor indexed="65"/>
        </patternFill>
      </fill>
      <alignment horizontal="left" vertical="center" textRotation="0" wrapText="0" indent="1" justifyLastLine="0" shrinkToFit="0" readingOrder="0"/>
      <border diagonalUp="0" diagonalDown="0">
        <left style="dotted">
          <color auto="1"/>
        </left>
        <right style="dotted">
          <color auto="1"/>
        </right>
        <top/>
        <bottom/>
        <vertical/>
        <horizontal/>
      </border>
    </dxf>
    <dxf>
      <border outline="0">
        <right style="dotted">
          <color auto="1"/>
        </right>
        <top style="thin">
          <color auto="1"/>
        </top>
      </border>
    </dxf>
    <dxf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 style="dotted">
          <color auto="1"/>
        </left>
        <right style="dotted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2" formatCode="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2" formatCode="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border outline="0"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fill>
        <patternFill patternType="solid">
          <fgColor rgb="FF5D7079"/>
          <bgColor theme="0" tint="-0.1499984740745262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0.0%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7" formatCode="0.0%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border outline="0"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fill>
        <patternFill patternType="solid">
          <fgColor rgb="FF5D7079"/>
          <bgColor theme="0" tint="-0.14999847407452621"/>
        </patternFill>
      </fill>
      <alignment horizontal="general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6" formatCode="0.0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6" formatCode="0.0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164" formatCode="[$€]#,##0.00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numFmt numFmtId="0" formatCode="General"/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FFFFFF"/>
        </bottom>
        <vertical/>
        <horizontal/>
      </border>
      <protection locked="0" hidden="0"/>
    </dxf>
    <dxf>
      <border outline="0">
        <bottom style="medium">
          <color rgb="FFFFFFF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Display"/>
        <family val="2"/>
        <scheme val="major"/>
      </font>
      <fill>
        <patternFill patternType="solid">
          <fgColor rgb="FFF2F5F7"/>
          <bgColor theme="0" tint="-4.9989318521683403E-2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ptos Display"/>
        <family val="2"/>
        <scheme val="major"/>
      </font>
      <fill>
        <patternFill patternType="solid">
          <fgColor rgb="FF5D7079"/>
          <bgColor theme="0" tint="-0.14999847407452621"/>
        </patternFill>
      </fill>
      <alignment horizontal="general" vertical="center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2F5F7"/>
      <color rgb="FF34495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437C664-0EAF-4959-84A4-9A65E936C576}" name="lignes_devis" displayName="lignes_devis" ref="B23:I26" totalsRowShown="0" headerRowDxfId="55" dataDxfId="54" tableBorderDxfId="53" headerRowCellStyle="Normal 2" dataCellStyle="Normal 2">
  <tableColumns count="8">
    <tableColumn id="1" xr3:uid="{F483E378-C725-476E-8EF0-74295A577FC3}" name="Référence" dataDxfId="52" dataCellStyle="Normal 2"/>
    <tableColumn id="2" xr3:uid="{49ECA7E0-65BD-44B3-9C24-560CD2B91077}" name="Description" dataDxfId="51" dataCellStyle="Normal 2">
      <calculatedColumnFormula>IF(B24="","",_xlfn.XLOOKUP(B24,table_produits[Référence produit],table_produits[Description],""))</calculatedColumnFormula>
    </tableColumn>
    <tableColumn id="3" xr3:uid="{4A7FDED9-29BD-4465-B6C9-74ED3A4AC2B3}" name="Quantité" dataDxfId="50" dataCellStyle="Normal 2"/>
    <tableColumn id="4" xr3:uid="{4562A9B0-FFB0-423B-94EA-A3FF71334FC8}" name="Prix unitaire HT" dataDxfId="49" dataCellStyle="Normal 2">
      <calculatedColumnFormula>IF(B24="","",_xlfn.XLOOKUP(B24,table_produits[Référence produit],table_produits[Prix unitaire HT],""))</calculatedColumnFormula>
    </tableColumn>
    <tableColumn id="5" xr3:uid="{81A2AA13-E5CA-43D7-B956-A4AEE95E02B3}" name="% TVA" dataDxfId="48" dataCellStyle="Pourcentage">
      <calculatedColumnFormula>IF(B24="","",_xlfn.XLOOKUP(B24,table_produits[Référence produit],table_produits[Taux TVA],""))</calculatedColumnFormula>
    </tableColumn>
    <tableColumn id="8" xr3:uid="{968DA6D3-0406-4997-AD42-A99CD5AE4CE8}" name="Cat" dataDxfId="47" dataCellStyle="Pourcentage">
      <calculatedColumnFormula>IF(B24="","",_xlfn.XLOOKUP(B24,table_produits[Référence produit],table_produits[Cat],""))</calculatedColumnFormula>
    </tableColumn>
    <tableColumn id="6" xr3:uid="{85ED7750-92BC-4FDD-B984-86A54A74287F}" name="Remise" dataDxfId="46" dataCellStyle="Normal 2"/>
    <tableColumn id="7" xr3:uid="{CD2ECC04-FC19-41FC-B6AC-89A90B8A7BF2}" name="Prix total HT" dataDxfId="45" dataCellStyle="Normal 2">
      <calculatedColumnFormula>IF(B24="",0,lignes_devis[[#This Row],[Quantité]]*lignes_devis[[#This Row],[Prix unitaire HT]]-lignes_devis[[#This Row],[Remise]])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048CC68-0954-4561-A5C2-FBF0AC221B28}" name="lignes_facture" displayName="lignes_facture" ref="B23:I26" totalsRowShown="0" headerRowDxfId="66" dataDxfId="65" tableBorderDxfId="64" headerRowCellStyle="Normal 2" dataCellStyle="Normal 2">
  <autoFilter ref="B23:I26" xr:uid="{4048CC68-0954-4561-A5C2-FBF0AC221B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xr3:uid="{93A1E92A-3269-4930-9F2D-27BA834EF3EA}" name="Référence" dataDxfId="63" dataCellStyle="Normal 2"/>
    <tableColumn id="2" xr3:uid="{782EF3A3-363D-49FB-B672-3FC7BD4089CF}" name="Description" dataDxfId="62" dataCellStyle="Normal 2">
      <calculatedColumnFormula>IF(B24="","",_xlfn.XLOOKUP(B24,table_produits[Référence produit],table_produits[Description],""))</calculatedColumnFormula>
    </tableColumn>
    <tableColumn id="3" xr3:uid="{5B35AF0A-2EC3-4E68-B0DE-5196DA81226F}" name="Quantité" dataDxfId="61" dataCellStyle="Normal 2"/>
    <tableColumn id="4" xr3:uid="{14C7271B-481E-4F7F-B344-E8B60C4B6EFB}" name="Prix unitaire HT" dataDxfId="60" dataCellStyle="Normal 2">
      <calculatedColumnFormula>IF(B24="","",_xlfn.XLOOKUP(B24,table_produits[Référence produit],table_produits[Prix unitaire HT],""))</calculatedColumnFormula>
    </tableColumn>
    <tableColumn id="5" xr3:uid="{FB45F800-8089-4025-935C-AB20DD9E25A8}" name="% TVA" dataDxfId="59" dataCellStyle="Normal 2">
      <calculatedColumnFormula>IF(B24="","",_xlfn.XLOOKUP(B24,table_produits[Référence produit],table_produits[Taux TVA],""))</calculatedColumnFormula>
    </tableColumn>
    <tableColumn id="8" xr3:uid="{8C01E363-89C6-45D4-AF39-41B46F2F8BE2}" name="Cat" dataDxfId="58" dataCellStyle="Normal 2">
      <calculatedColumnFormula>IF(B24="","",_xlfn.XLOOKUP(B24,table_produits[Référence produit],table_produits[Cat],""))</calculatedColumnFormula>
    </tableColumn>
    <tableColumn id="6" xr3:uid="{6CA4A53A-8738-4E7D-A0D9-9B24C3095CE1}" name="Remise" dataDxfId="57" dataCellStyle="Normal 2"/>
    <tableColumn id="7" xr3:uid="{BDD20081-7F9A-4190-959D-B1E1F26F588D}" name="Prix total HT" dataDxfId="56" dataCellStyle="Normal 2">
      <calculatedColumnFormula>IF(B24="",0,lignes_facture[[#This Row],[Quantité]]*lignes_facture[[#This Row],[Prix unitaire HT]]-lignes_facture[[#This Row],[Remise]])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E6129D4-9A17-47ED-A18C-49DE8F2D2697}" name="lignes_avoir" displayName="lignes_avoir" ref="B23:I26" totalsRowShown="0" headerRowDxfId="44" dataDxfId="43" tableBorderDxfId="42" headerRowCellStyle="Normal 2" dataCellStyle="Normal 2">
  <tableColumns count="8">
    <tableColumn id="1" xr3:uid="{BA669715-5C56-4566-92F6-A646C3BFC935}" name="Référence" dataDxfId="41" dataCellStyle="Normal 2"/>
    <tableColumn id="2" xr3:uid="{E07E2C37-6AB2-4D59-BBAA-0534E5F49A2D}" name="Description" dataDxfId="40" dataCellStyle="Normal 2">
      <calculatedColumnFormula>IF(B24="","",_xlfn.XLOOKUP(B24,table_produits[Référence produit],table_produits[Description],""))</calculatedColumnFormula>
    </tableColumn>
    <tableColumn id="3" xr3:uid="{62272E2B-F7EC-4410-A613-29CF7C8DC152}" name="Quantité" dataDxfId="39" dataCellStyle="Normal 2"/>
    <tableColumn id="4" xr3:uid="{1788B65C-7EB3-46B6-BE5E-3205C507AE50}" name="Prix unitaire HT" dataDxfId="38" dataCellStyle="Normal 2">
      <calculatedColumnFormula>IF(B24="","",_xlfn.XLOOKUP(B24,table_produits[Référence produit],table_produits[Prix unitaire HT],""))</calculatedColumnFormula>
    </tableColumn>
    <tableColumn id="5" xr3:uid="{8CF2B0F9-4CAB-49AF-816A-7728860D0DB8}" name="% TVA" dataDxfId="37" dataCellStyle="Normal 2">
      <calculatedColumnFormula>IF(B24="","",_xlfn.XLOOKUP(B24,table_produits[Référence produit],table_produits[Taux TVA],""))</calculatedColumnFormula>
    </tableColumn>
    <tableColumn id="8" xr3:uid="{1B5B346D-EFCC-4DE2-9E65-94F3E76E3373}" name="Cat" dataDxfId="36" dataCellStyle="Normal 2">
      <calculatedColumnFormula>IF(B24="","",_xlfn.XLOOKUP(B24,table_produits[Référence produit],table_produits[Cat],""))</calculatedColumnFormula>
    </tableColumn>
    <tableColumn id="6" xr3:uid="{76ED4D4B-BED6-4CF6-9EA7-A3863966203D}" name="Remise" dataDxfId="35" dataCellStyle="Normal 2"/>
    <tableColumn id="7" xr3:uid="{35E9E9C3-8526-4EBE-832E-467457EC98AE}" name="Prix total HT" dataDxfId="34" dataCellStyle="Normal 2">
      <calculatedColumnFormula>IF(B24="",0,lignes_avoir[[#This Row],[Quantité]]*lignes_avoir[[#This Row],[Prix unitaire HT]]-lignes_avoir[[#This Row],[Remise]])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F26CE53-CB5F-48E5-87C8-F1CDEB7C93AC}" name="table_clients" displayName="table_clients" ref="A1:V2" totalsRowShown="0" headerRowDxfId="33" dataDxfId="32" tableBorderDxfId="31">
  <autoFilter ref="A1:V2" xr:uid="{2F26CE53-CB5F-48E5-87C8-F1CDEB7C93AC}"/>
  <tableColumns count="22">
    <tableColumn id="1" xr3:uid="{E40BC6FD-812E-4433-B353-325B42D5884E}" name="Numéro client" dataDxfId="30"/>
    <tableColumn id="2" xr3:uid="{BDE47735-2B24-43C1-9124-819AD3903118}" name="Type" dataDxfId="29"/>
    <tableColumn id="3" xr3:uid="{7E3B539C-B88C-41AB-8258-0134A75F9A60}" name="Raison sociale" dataDxfId="28"/>
    <tableColumn id="15" xr3:uid="{407AD764-4959-4065-8E78-D9C0A49A5EA0}" name="TVA" dataDxfId="27"/>
    <tableColumn id="16" xr3:uid="{2B6A25E5-7BF3-4951-9C38-8FDF7D6E1F29}" name="SIRET" dataDxfId="26"/>
    <tableColumn id="14" xr3:uid="{EFB9C09D-5436-4737-B070-39CAF8A3870A}" name="Nom commercial" dataDxfId="25"/>
    <tableColumn id="8" xr3:uid="{EBE28942-C006-4B63-A4FD-CBB106F76397}" name="Nom" dataDxfId="24"/>
    <tableColumn id="11" xr3:uid="{BD7549ED-7B4A-415C-B8DF-FC9164EDB550}" name="Prénom" dataDxfId="23"/>
    <tableColumn id="4" xr3:uid="{E4173B27-F053-429C-AC71-B6CBB319A26E}" name="Facturation adresse 1" dataDxfId="22"/>
    <tableColumn id="13" xr3:uid="{AF0811A3-11CB-4549-B532-B8CEFB9C3290}" name="Facturation adresse 2" dataDxfId="21"/>
    <tableColumn id="5" xr3:uid="{A9153BB2-9523-4BD8-A3F2-0807844B172C}" name="Facturation CP" dataDxfId="20"/>
    <tableColumn id="6" xr3:uid="{B23FD340-6EAE-4A51-8E21-7715EF7522EC}" name="Facturation Ville" dataDxfId="19"/>
    <tableColumn id="18" xr3:uid="{E1197DC8-C25C-4806-9BF9-8EA8BC130B60}" name="Facturation Pays" dataDxfId="18"/>
    <tableColumn id="19" xr3:uid="{3F43862D-D890-4176-B218-2B0084DF6C3C}" name="Livraison adresse 1" dataDxfId="17"/>
    <tableColumn id="20" xr3:uid="{180E0FFA-E827-455F-80DE-C886E0683CA4}" name="Livraison adresse 2" dataDxfId="16"/>
    <tableColumn id="21" xr3:uid="{B447C902-52CF-4329-90DA-D1E00FA526A1}" name="Livraison CP" dataDxfId="15"/>
    <tableColumn id="22" xr3:uid="{E992EFEC-09C5-4F65-B3BE-4BB2FF4B65AD}" name="Livraison Ville" dataDxfId="14"/>
    <tableColumn id="23" xr3:uid="{E912F096-4636-4E4E-B728-CCC18EFDB884}" name="Livraison Pays" dataDxfId="13"/>
    <tableColumn id="7" xr3:uid="{ECE7D29D-2BDD-4764-BC47-2A3DE8E3010F}" name="Téléphone" dataDxfId="12"/>
    <tableColumn id="10" xr3:uid="{0C06554B-3BCA-4564-AADA-579AC8356085}" name="Email" dataDxfId="11"/>
    <tableColumn id="9" xr3:uid="{43DB08D5-CC29-45B1-8EE3-55DF97603D43}" name="Site internet" dataDxfId="10"/>
    <tableColumn id="12" xr3:uid="{C34DA60C-396B-42FE-9747-D466E6DF8D48}" name="Remarques" dataDxfId="9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7214CB1-E515-43CC-A2BC-FA3B01F477A2}" name="table_produits" displayName="table_produits" ref="A1:H2" totalsRowShown="0" tableBorderDxfId="8">
  <autoFilter ref="A1:H2" xr:uid="{27214CB1-E515-43CC-A2BC-FA3B01F477A2}"/>
  <tableColumns count="8">
    <tableColumn id="1" xr3:uid="{6E2042E6-BDD3-46F1-AA69-23203BD84A3B}" name="Référence produit" dataDxfId="7"/>
    <tableColumn id="2" xr3:uid="{C1D68F7A-3440-42E4-B57C-19EE58950BCD}" name="Description" dataDxfId="6"/>
    <tableColumn id="3" xr3:uid="{5774A53D-DA46-43FD-8C12-62B5F159F2F2}" name="Prix unitaire HT" dataDxfId="5"/>
    <tableColumn id="7" xr3:uid="{281DFA2E-C8A3-4C35-AE81-20D7B2A45E28}" name="Type TVA" dataDxfId="4"/>
    <tableColumn id="4" xr3:uid="{24214FA7-21EB-47E2-AF4F-AE53FD99CBC7}" name="Taux TVA" dataDxfId="3" dataCellStyle="Pourcentage"/>
    <tableColumn id="6" xr3:uid="{AD84C35F-EFDC-48C6-A725-1C4D77EA4398}" name="Cat" dataDxfId="2" dataCellStyle="Pourcentage"/>
    <tableColumn id="8" xr3:uid="{78C0FB82-C3D9-4073-8650-0985BC4BA9FA}" name="Regime TVA" dataDxfId="1" dataCellStyle="Pourcentage"/>
    <tableColumn id="5" xr3:uid="{377EB28D-4828-4921-B66D-70EC2809B8C7}" name="Remarqu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9950C-D6D2-4A3E-BAC1-E68E82978BAB}">
  <sheetPr codeName="Feuil4"/>
  <dimension ref="B1:I41"/>
  <sheetViews>
    <sheetView zoomScale="113" zoomScaleNormal="113" zoomScaleSheetLayoutView="108" workbookViewId="0">
      <selection activeCell="K6" sqref="K6"/>
    </sheetView>
  </sheetViews>
  <sheetFormatPr baseColWidth="10" defaultColWidth="11.42578125" defaultRowHeight="15" x14ac:dyDescent="0.25"/>
  <cols>
    <col min="1" max="1" width="2.7109375" style="4" customWidth="1"/>
    <col min="2" max="2" width="24.5703125" style="4" customWidth="1"/>
    <col min="3" max="3" width="31.140625" style="4" customWidth="1"/>
    <col min="4" max="4" width="10" style="4" customWidth="1"/>
    <col min="5" max="5" width="21.140625" style="4" customWidth="1"/>
    <col min="6" max="6" width="8" style="4" customWidth="1"/>
    <col min="7" max="7" width="3.7109375" style="4" hidden="1" customWidth="1"/>
    <col min="8" max="8" width="15.42578125" style="4" customWidth="1"/>
    <col min="9" max="9" width="18" style="4" customWidth="1"/>
    <col min="10" max="10" width="2.7109375" style="4" customWidth="1"/>
    <col min="11" max="16384" width="11.42578125" style="4"/>
  </cols>
  <sheetData>
    <row r="1" spans="2:9" ht="10.5" customHeight="1" x14ac:dyDescent="0.25"/>
    <row r="2" spans="2:9" ht="3.75" customHeight="1" x14ac:dyDescent="0.25">
      <c r="B2" s="13"/>
      <c r="C2" s="13"/>
      <c r="D2" s="13"/>
      <c r="E2" s="13"/>
      <c r="F2" s="13"/>
      <c r="G2" s="13"/>
      <c r="H2" s="13"/>
      <c r="I2" s="13"/>
    </row>
    <row r="3" spans="2:9" ht="12" customHeight="1" x14ac:dyDescent="0.25"/>
    <row r="4" spans="2:9" s="1" customFormat="1" ht="111" customHeight="1" x14ac:dyDescent="0.25">
      <c r="B4" s="7"/>
      <c r="C4" s="7"/>
      <c r="D4" s="8"/>
      <c r="E4" s="14" t="s">
        <v>28</v>
      </c>
      <c r="F4" s="10"/>
      <c r="G4" s="10"/>
      <c r="I4" s="9"/>
    </row>
    <row r="5" spans="2:9" s="1" customFormat="1" ht="13.5" customHeight="1" x14ac:dyDescent="0.25">
      <c r="B5" s="7"/>
      <c r="C5" s="7"/>
      <c r="D5" s="8"/>
      <c r="E5" s="14"/>
      <c r="F5" s="10"/>
      <c r="G5" s="10"/>
      <c r="H5" s="10"/>
      <c r="I5" s="9"/>
    </row>
    <row r="6" spans="2:9" x14ac:dyDescent="0.25">
      <c r="B6" s="81" t="s">
        <v>36</v>
      </c>
      <c r="C6" s="80" t="s">
        <v>19</v>
      </c>
      <c r="F6" s="5"/>
      <c r="G6" s="5"/>
      <c r="H6" s="20" t="s">
        <v>24</v>
      </c>
      <c r="I6" s="105"/>
    </row>
    <row r="7" spans="2:9" x14ac:dyDescent="0.25">
      <c r="B7" s="82" t="s">
        <v>37</v>
      </c>
      <c r="C7" s="80" t="s">
        <v>20</v>
      </c>
      <c r="F7" s="5"/>
      <c r="G7" s="5"/>
      <c r="H7" s="20" t="s">
        <v>29</v>
      </c>
      <c r="I7" s="106">
        <f ca="1">TODAY()</f>
        <v>46226</v>
      </c>
    </row>
    <row r="8" spans="2:9" x14ac:dyDescent="0.25">
      <c r="B8" s="80" t="s">
        <v>40</v>
      </c>
      <c r="C8" s="83" t="s">
        <v>21</v>
      </c>
      <c r="F8" s="5"/>
      <c r="G8" s="5"/>
      <c r="H8" s="20" t="s">
        <v>30</v>
      </c>
      <c r="I8" s="107"/>
    </row>
    <row r="9" spans="2:9" x14ac:dyDescent="0.25">
      <c r="B9" s="80" t="s">
        <v>39</v>
      </c>
      <c r="C9" s="43"/>
      <c r="F9" s="5"/>
      <c r="G9" s="5"/>
      <c r="H9" s="20"/>
    </row>
    <row r="10" spans="2:9" x14ac:dyDescent="0.25">
      <c r="B10" s="80" t="s">
        <v>22</v>
      </c>
      <c r="C10" s="42"/>
      <c r="D10" s="5"/>
      <c r="E10" s="116" t="s">
        <v>7</v>
      </c>
      <c r="F10" s="117"/>
      <c r="G10" s="117"/>
      <c r="H10" s="117"/>
      <c r="I10" s="118"/>
    </row>
    <row r="11" spans="2:9" x14ac:dyDescent="0.25">
      <c r="B11" s="84" t="s">
        <v>4</v>
      </c>
      <c r="C11" s="42"/>
      <c r="D11" s="5"/>
      <c r="E11" s="173"/>
      <c r="F11" s="174"/>
      <c r="G11" s="174"/>
      <c r="H11" s="174"/>
      <c r="I11" s="175"/>
    </row>
    <row r="12" spans="2:9" x14ac:dyDescent="0.25">
      <c r="B12" s="80" t="s">
        <v>1</v>
      </c>
      <c r="C12" s="43"/>
      <c r="D12" s="5"/>
      <c r="E12" s="173"/>
      <c r="F12" s="174"/>
      <c r="G12" s="174"/>
      <c r="H12" s="174"/>
      <c r="I12" s="175"/>
    </row>
    <row r="13" spans="2:9" x14ac:dyDescent="0.25">
      <c r="B13" s="42"/>
      <c r="C13" s="43"/>
      <c r="D13" s="5"/>
      <c r="E13" s="176"/>
      <c r="F13" s="177"/>
      <c r="G13" s="177"/>
      <c r="H13" s="177"/>
      <c r="I13" s="178"/>
    </row>
    <row r="14" spans="2:9" x14ac:dyDescent="0.25">
      <c r="D14" s="5"/>
    </row>
    <row r="15" spans="2:9" x14ac:dyDescent="0.25">
      <c r="B15" s="50" t="s">
        <v>5</v>
      </c>
      <c r="C15" s="50"/>
      <c r="D15" s="50"/>
      <c r="E15" s="50" t="s">
        <v>6</v>
      </c>
      <c r="F15" s="50"/>
      <c r="G15" s="50"/>
      <c r="H15" s="50"/>
      <c r="I15" s="50"/>
    </row>
    <row r="16" spans="2:9" x14ac:dyDescent="0.25">
      <c r="B16" s="100"/>
      <c r="C16" s="100"/>
      <c r="D16" s="100"/>
      <c r="E16" s="100"/>
      <c r="F16" s="100"/>
      <c r="G16" s="100"/>
      <c r="H16" s="100"/>
      <c r="I16" s="100"/>
    </row>
    <row r="17" spans="2:9" x14ac:dyDescent="0.25">
      <c r="B17" s="108" t="str">
        <f>IF(num_client="","Raison sociale",_xlfn.XLOOKUP(num_client,table_clients[Numéro client],table_clients[Raison sociale],""))</f>
        <v>Raison sociale</v>
      </c>
      <c r="C17" s="56" t="str">
        <f>IF(num_client="","Téléphone",_xlfn.XLOOKUP(num_client,table_clients[Numéro client],table_clients[Téléphone],""))</f>
        <v>Téléphone</v>
      </c>
      <c r="D17" s="100"/>
      <c r="E17" s="109" t="str">
        <f>IF(num_client="","Raison sociale",_xlfn.XLOOKUP(num_client,table_clients[Numéro client],table_clients[Raison sociale],""))</f>
        <v>Raison sociale</v>
      </c>
      <c r="F17" s="100"/>
      <c r="G17" s="100"/>
      <c r="H17" s="100"/>
      <c r="I17" s="100"/>
    </row>
    <row r="18" spans="2:9" x14ac:dyDescent="0.25">
      <c r="B18" s="55" t="str">
        <f>IF(num_client="","Nom Prénom",_xlfn.CONCAT(_xlfn.XLOOKUP(num_client,table_clients[Numéro client],table_clients[Nom],"")," ",_xlfn.XLOOKUP(num_client,table_clients[Numéro client],table_clients[Prénom],"")))</f>
        <v>Nom Prénom</v>
      </c>
      <c r="C18" s="57" t="str">
        <f>IF(num_client="","Email",IFERROR(_xlfn.XLOOKUP(num_client,table_clients[Numéro client],table_clients[Email],""),""))</f>
        <v>Email</v>
      </c>
      <c r="D18" s="3"/>
      <c r="E18" s="58" t="str">
        <f>IF(num_client="","Nom Prénom",_xlfn.CONCAT(_xlfn.XLOOKUP(num_client,table_clients[Numéro client],table_clients[Nom],"")," ",_xlfn.XLOOKUP(num_client,table_clients[Numéro client],table_clients[Prénom],"")))</f>
        <v>Nom Prénom</v>
      </c>
      <c r="F18" s="5"/>
      <c r="G18" s="5"/>
      <c r="H18" s="5"/>
      <c r="I18" s="3"/>
    </row>
    <row r="19" spans="2:9" x14ac:dyDescent="0.25">
      <c r="B19" s="56" t="str">
        <f>IF(num_client="","Adresse",_xlfn.CONCAT(_xlfn.XLOOKUP(num_client,table_clients[Numéro client],table_clients[Facturation adresse 1],"")," ",_xlfn.XLOOKUP(num_client,table_clients[Numéro client],table_clients[Facturation adresse 2],"")))</f>
        <v>Adresse</v>
      </c>
      <c r="C19" s="5"/>
      <c r="D19" s="3"/>
      <c r="E19" s="56" t="str">
        <f>IF(num_client="","Adresse",_xlfn.CONCAT(_xlfn.XLOOKUP(num_client,table_clients[Numéro client],table_clients[Livraison adresse 1],"")," ",_xlfn.XLOOKUP(num_client,table_clients[Numéro client],table_clients[Livraison adresse 2],"")))</f>
        <v>Adresse</v>
      </c>
      <c r="F19" s="5"/>
      <c r="G19" s="5"/>
      <c r="H19" s="5"/>
      <c r="I19" s="3"/>
    </row>
    <row r="20" spans="2:9" x14ac:dyDescent="0.25">
      <c r="B20" s="56" t="str">
        <f>IF(num_client="","CP Ville",_xlfn.CONCAT(_xlfn.XLOOKUP(num_client,table_clients[Numéro client],table_clients[Facturation CP],"")," ",_xlfn.XLOOKUP(num_client,table_clients[Numéro client],table_clients[Facturation Ville],"")))</f>
        <v>CP Ville</v>
      </c>
      <c r="C20" s="5"/>
      <c r="D20" s="3"/>
      <c r="E20" s="57" t="str">
        <f>IF(num_client="","CP Ville",_xlfn.CONCAT(_xlfn.XLOOKUP(num_client,table_clients[Numéro client],table_clients[Livraison CP],"")," ",_xlfn.XLOOKUP(num_client,table_clients[Numéro client],table_clients[Livraison Ville],"")))</f>
        <v>CP Ville</v>
      </c>
      <c r="F20" s="5"/>
      <c r="G20" s="5"/>
      <c r="H20" s="5"/>
      <c r="I20" s="3"/>
    </row>
    <row r="21" spans="2:9" x14ac:dyDescent="0.25">
      <c r="B21" s="101" t="str">
        <f>IF(num_client="","Pays",IFERROR(_xlfn.XLOOKUP(num_client,table_clients[Numéro client],table_clients[Facturation Pays],""),""))</f>
        <v>Pays</v>
      </c>
      <c r="C21" s="5"/>
      <c r="D21" s="3"/>
      <c r="E21" s="57" t="str">
        <f>IF(num_client="","Pays",IFERROR(_xlfn.XLOOKUP(num_client,table_clients[Numéro client],table_clients[Livraison Pays],""),""))</f>
        <v>Pays</v>
      </c>
      <c r="F21" s="5"/>
      <c r="G21" s="5"/>
      <c r="H21" s="5"/>
      <c r="I21" s="3"/>
    </row>
    <row r="23" spans="2:9" x14ac:dyDescent="0.25">
      <c r="B23" s="50" t="s">
        <v>26</v>
      </c>
      <c r="C23" s="50" t="s">
        <v>7</v>
      </c>
      <c r="D23" s="50" t="s">
        <v>8</v>
      </c>
      <c r="E23" s="50" t="s">
        <v>9</v>
      </c>
      <c r="F23" s="64" t="s">
        <v>17</v>
      </c>
      <c r="G23" s="64" t="s">
        <v>119</v>
      </c>
      <c r="H23" s="50" t="s">
        <v>23</v>
      </c>
      <c r="I23" s="50" t="s">
        <v>10</v>
      </c>
    </row>
    <row r="24" spans="2:9" ht="15.75" thickBot="1" x14ac:dyDescent="0.3">
      <c r="B24" s="53"/>
      <c r="C24" s="53" t="str">
        <f>IF(B24="","",_xlfn.XLOOKUP(B24,table_produits[Référence produit],table_produits[Description],""))</f>
        <v/>
      </c>
      <c r="D24" s="53"/>
      <c r="E24" s="54" t="str">
        <f>IF(B24="","",_xlfn.XLOOKUP(B24,table_produits[Référence produit],table_produits[Prix unitaire HT],""))</f>
        <v/>
      </c>
      <c r="F24" s="112" t="str">
        <f>IF(B24="","",_xlfn.XLOOKUP(B24,table_produits[Référence produit],table_produits[Taux TVA],""))</f>
        <v/>
      </c>
      <c r="G24" s="112" t="str">
        <f>IF(B24="","",_xlfn.XLOOKUP(B24,table_produits[Référence produit],table_produits[Cat],""))</f>
        <v/>
      </c>
      <c r="H24" s="54"/>
      <c r="I24" s="79">
        <f>IF(B24="",0,lignes_devis[[#This Row],[Quantité]]*lignes_devis[[#This Row],[Prix unitaire HT]]-lignes_devis[[#This Row],[Remise]])</f>
        <v>0</v>
      </c>
    </row>
    <row r="25" spans="2:9" ht="15.75" thickBot="1" x14ac:dyDescent="0.3">
      <c r="B25" s="53"/>
      <c r="C25" s="53" t="str">
        <f>IF(B25="","",_xlfn.XLOOKUP(B25,table_produits[Référence produit],table_produits[Description],""))</f>
        <v/>
      </c>
      <c r="D25" s="53"/>
      <c r="E25" s="54" t="str">
        <f>IF(B25="","",_xlfn.XLOOKUP(B25,table_produits[Référence produit],table_produits[Prix unitaire HT],""))</f>
        <v/>
      </c>
      <c r="F25" s="112" t="str">
        <f>IF(B25="","",_xlfn.XLOOKUP(B25,table_produits[Référence produit],table_produits[Taux TVA],""))</f>
        <v/>
      </c>
      <c r="G25" s="112" t="str">
        <f>IF(B25="","",_xlfn.XLOOKUP(B25,table_produits[Référence produit],table_produits[Cat],""))</f>
        <v/>
      </c>
      <c r="H25" s="54"/>
      <c r="I25" s="79">
        <f>IF(B25="",0,lignes_devis[[#This Row],[Quantité]]*lignes_devis[[#This Row],[Prix unitaire HT]]-lignes_devis[[#This Row],[Remise]])</f>
        <v>0</v>
      </c>
    </row>
    <row r="26" spans="2:9" ht="15.75" thickBot="1" x14ac:dyDescent="0.3">
      <c r="B26" s="53"/>
      <c r="C26" s="59" t="str">
        <f>IF(B26="","",_xlfn.XLOOKUP(B26,table_produits[Référence produit],table_produits[Description],""))</f>
        <v/>
      </c>
      <c r="D26" s="59"/>
      <c r="E26" s="60" t="str">
        <f>IF(B26="","",_xlfn.XLOOKUP(B26,table_produits[Référence produit],table_produits[Prix unitaire HT],""))</f>
        <v/>
      </c>
      <c r="F26" s="113" t="str">
        <f>IF(B26="","",_xlfn.XLOOKUP(B26,table_produits[Référence produit],table_produits[Taux TVA],""))</f>
        <v/>
      </c>
      <c r="G26" s="113" t="str">
        <f>IF(B26="","",_xlfn.XLOOKUP(B26,table_produits[Référence produit],table_produits[Cat],""))</f>
        <v/>
      </c>
      <c r="H26" s="60"/>
      <c r="I26" s="79">
        <f>IF(B26="",0,lignes_devis[[#This Row],[Quantité]]*lignes_devis[[#This Row],[Prix unitaire HT]]-lignes_devis[[#This Row],[Remise]])</f>
        <v>0</v>
      </c>
    </row>
    <row r="27" spans="2:9" x14ac:dyDescent="0.25">
      <c r="B27" s="43"/>
      <c r="C27" s="43"/>
      <c r="D27" s="43"/>
      <c r="E27" s="43"/>
      <c r="F27" s="63"/>
      <c r="G27" s="63"/>
      <c r="H27" s="43"/>
      <c r="I27" s="43"/>
    </row>
    <row r="28" spans="2:9" x14ac:dyDescent="0.25">
      <c r="B28" s="161" t="s">
        <v>11</v>
      </c>
      <c r="C28" s="162"/>
      <c r="D28" s="163"/>
      <c r="E28" s="43"/>
      <c r="F28" s="67"/>
      <c r="G28" s="67"/>
      <c r="H28" s="45" t="s">
        <v>15</v>
      </c>
      <c r="I28" s="11">
        <f>SUM(lignes_devis[Prix total HT])</f>
        <v>0</v>
      </c>
    </row>
    <row r="29" spans="2:9" ht="15" customHeight="1" x14ac:dyDescent="0.25">
      <c r="B29" s="164" t="e">
        <f>LEFT(regime_tva,FIND("-",regime_tva)-1)</f>
        <v>#VALUE!</v>
      </c>
      <c r="C29" s="165"/>
      <c r="D29" s="166"/>
      <c r="E29" s="43"/>
      <c r="F29" s="67"/>
      <c r="G29" s="67"/>
      <c r="H29" s="45" t="s">
        <v>14</v>
      </c>
      <c r="I29" s="11">
        <f>SUMPRODUCT(lignes_devis[Prix total HT], lignes_devis[% TVA])</f>
        <v>0</v>
      </c>
    </row>
    <row r="30" spans="2:9" x14ac:dyDescent="0.25">
      <c r="B30" s="164" t="str">
        <f>config!PMD&amp;". "&amp;config!PMT&amp;". "&amp;config!AAB&amp;". "</f>
        <v xml:space="preserve">. . . </v>
      </c>
      <c r="C30" s="165"/>
      <c r="D30" s="166"/>
      <c r="E30" s="43"/>
      <c r="F30" s="67"/>
      <c r="G30" s="67"/>
      <c r="H30" s="45" t="s">
        <v>12</v>
      </c>
      <c r="I30" s="11">
        <f>total_ht+total_tva</f>
        <v>0</v>
      </c>
    </row>
    <row r="31" spans="2:9" x14ac:dyDescent="0.25">
      <c r="B31" s="164"/>
      <c r="C31" s="165"/>
      <c r="D31" s="166"/>
      <c r="E31" s="43"/>
      <c r="F31" s="67"/>
      <c r="G31" s="67"/>
      <c r="H31" s="45" t="s">
        <v>13</v>
      </c>
      <c r="I31" s="115">
        <v>0</v>
      </c>
    </row>
    <row r="32" spans="2:9" ht="21" x14ac:dyDescent="0.35">
      <c r="B32" s="167"/>
      <c r="C32" s="168"/>
      <c r="D32" s="169"/>
      <c r="E32" s="43"/>
      <c r="F32" s="67"/>
      <c r="G32" s="67"/>
      <c r="H32" s="46" t="s">
        <v>16</v>
      </c>
      <c r="I32" s="18">
        <f>total_ttc-acompte</f>
        <v>0</v>
      </c>
    </row>
    <row r="33" spans="2:9" ht="13.5" customHeight="1" x14ac:dyDescent="0.25">
      <c r="B33" s="15"/>
      <c r="C33" s="15"/>
      <c r="D33" s="12"/>
      <c r="E33" s="12"/>
      <c r="F33" s="12"/>
      <c r="G33" s="12"/>
      <c r="H33" s="12"/>
      <c r="I33" s="12"/>
    </row>
    <row r="34" spans="2:9" ht="40.5" customHeight="1" x14ac:dyDescent="0.25">
      <c r="B34" s="170" t="s">
        <v>31</v>
      </c>
      <c r="C34" s="171"/>
      <c r="D34" s="172"/>
      <c r="E34" s="172"/>
      <c r="F34" s="172"/>
      <c r="G34" s="172"/>
      <c r="H34" s="172"/>
      <c r="I34" s="172"/>
    </row>
    <row r="35" spans="2:9" x14ac:dyDescent="0.25">
      <c r="B35" s="24"/>
      <c r="C35" s="25"/>
      <c r="D35" s="24"/>
      <c r="E35" s="23"/>
      <c r="F35" s="23"/>
      <c r="G35" s="23"/>
      <c r="H35" s="3"/>
      <c r="I35" s="3"/>
    </row>
    <row r="36" spans="2:9" x14ac:dyDescent="0.25">
      <c r="B36" s="159" t="str">
        <f>IF(ISBLANK(footer), "", footer)</f>
        <v/>
      </c>
      <c r="C36" s="159"/>
      <c r="D36" s="160"/>
      <c r="E36" s="160"/>
      <c r="F36" s="160"/>
      <c r="G36" s="160"/>
      <c r="H36" s="160"/>
      <c r="I36" s="160"/>
    </row>
    <row r="37" spans="2:9" x14ac:dyDescent="0.25">
      <c r="B37" s="160"/>
      <c r="C37" s="160"/>
      <c r="D37" s="160"/>
      <c r="E37" s="160"/>
      <c r="F37" s="160"/>
      <c r="G37" s="160"/>
      <c r="H37" s="160"/>
      <c r="I37" s="160"/>
    </row>
    <row r="38" spans="2:9" x14ac:dyDescent="0.25">
      <c r="B38" s="160"/>
      <c r="C38" s="160"/>
      <c r="D38" s="160"/>
      <c r="E38" s="160"/>
      <c r="F38" s="160"/>
      <c r="G38" s="160"/>
      <c r="H38" s="160"/>
      <c r="I38" s="160"/>
    </row>
    <row r="39" spans="2:9" ht="5.25" customHeight="1" x14ac:dyDescent="0.25">
      <c r="B39" s="13"/>
      <c r="C39" s="13"/>
      <c r="D39" s="13"/>
      <c r="E39" s="13"/>
      <c r="F39" s="13"/>
      <c r="G39" s="13"/>
      <c r="H39" s="13"/>
      <c r="I39" s="13"/>
    </row>
    <row r="41" spans="2:9" x14ac:dyDescent="0.25">
      <c r="B41" s="6"/>
      <c r="C41" s="6"/>
    </row>
  </sheetData>
  <mergeCells count="6">
    <mergeCell ref="B34:I34"/>
    <mergeCell ref="B36:I38"/>
    <mergeCell ref="E11:I13"/>
    <mergeCell ref="B28:D28"/>
    <mergeCell ref="B29:D29"/>
    <mergeCell ref="B30:D32"/>
  </mergeCells>
  <dataValidations count="2">
    <dataValidation type="list" allowBlank="1" showInputMessage="1" showErrorMessage="1" sqref="B24:B26" xr:uid="{17F1650B-FAB0-4C74-BB73-038730453E69}">
      <formula1>ref_produit</formula1>
    </dataValidation>
    <dataValidation type="list" allowBlank="1" showInputMessage="1" showErrorMessage="1" sqref="I6" xr:uid="{D8A5495F-E917-479C-8DA8-BD9E737494A3}">
      <formula1>ref_client</formula1>
    </dataValidation>
  </dataValidations>
  <pageMargins left="0.7" right="0.7" top="0.75" bottom="0.75" header="0.3" footer="0.3"/>
  <pageSetup scale="68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97CFB-5AF3-46E2-9BE3-4BF6975CB8DF}">
  <sheetPr codeName="Feuil2"/>
  <dimension ref="B1:L41"/>
  <sheetViews>
    <sheetView tabSelected="1" zoomScale="113" zoomScaleNormal="113" workbookViewId="0">
      <selection activeCell="K6" sqref="K6"/>
    </sheetView>
  </sheetViews>
  <sheetFormatPr baseColWidth="10" defaultColWidth="11.42578125" defaultRowHeight="15" x14ac:dyDescent="0.25"/>
  <cols>
    <col min="1" max="1" width="2.7109375" style="43" customWidth="1"/>
    <col min="2" max="2" width="24.5703125" style="43" customWidth="1"/>
    <col min="3" max="3" width="31.140625" style="43" customWidth="1"/>
    <col min="4" max="4" width="10" style="43" customWidth="1"/>
    <col min="5" max="5" width="21.140625" style="43" customWidth="1"/>
    <col min="6" max="6" width="8" style="63" customWidth="1"/>
    <col min="7" max="7" width="3.42578125" style="63" hidden="1" customWidth="1"/>
    <col min="8" max="8" width="15.42578125" style="43" customWidth="1"/>
    <col min="9" max="9" width="18" style="43" customWidth="1"/>
    <col min="10" max="10" width="2.7109375" style="43" customWidth="1"/>
    <col min="11" max="16384" width="11.42578125" style="43"/>
  </cols>
  <sheetData>
    <row r="1" spans="2:9" ht="10.5" customHeight="1" x14ac:dyDescent="0.25"/>
    <row r="2" spans="2:9" ht="3.75" customHeight="1" x14ac:dyDescent="0.25">
      <c r="B2" s="74"/>
      <c r="C2" s="74"/>
      <c r="D2" s="74"/>
      <c r="E2" s="74"/>
      <c r="F2" s="75"/>
      <c r="G2" s="75"/>
      <c r="H2" s="74"/>
      <c r="I2" s="74"/>
    </row>
    <row r="3" spans="2:9" ht="12.75" customHeight="1" x14ac:dyDescent="0.25"/>
    <row r="4" spans="2:9" s="40" customFormat="1" ht="111.75" customHeight="1" x14ac:dyDescent="0.25">
      <c r="B4" s="35"/>
      <c r="C4" s="35"/>
      <c r="D4" s="36"/>
      <c r="E4" s="37" t="s">
        <v>0</v>
      </c>
      <c r="F4" s="61"/>
      <c r="G4" s="61"/>
      <c r="I4" s="76"/>
    </row>
    <row r="5" spans="2:9" s="40" customFormat="1" ht="13.5" customHeight="1" x14ac:dyDescent="0.25">
      <c r="B5" s="35"/>
      <c r="C5" s="35"/>
      <c r="D5" s="36"/>
      <c r="E5" s="37"/>
      <c r="F5" s="61"/>
      <c r="G5" s="61"/>
      <c r="H5" s="38"/>
      <c r="I5" s="76"/>
    </row>
    <row r="6" spans="2:9" s="40" customFormat="1" ht="13.5" customHeight="1" x14ac:dyDescent="0.25">
      <c r="B6" s="81" t="s">
        <v>36</v>
      </c>
      <c r="C6" s="80" t="s">
        <v>19</v>
      </c>
      <c r="D6" s="36"/>
      <c r="F6" s="61"/>
      <c r="G6" s="61"/>
      <c r="H6" s="71" t="s">
        <v>43</v>
      </c>
      <c r="I6" s="153"/>
    </row>
    <row r="7" spans="2:9" x14ac:dyDescent="0.25">
      <c r="B7" s="82" t="s">
        <v>37</v>
      </c>
      <c r="C7" s="80" t="s">
        <v>20</v>
      </c>
      <c r="F7" s="62"/>
      <c r="G7" s="62"/>
      <c r="H7" s="72" t="s">
        <v>24</v>
      </c>
      <c r="I7" s="102"/>
    </row>
    <row r="8" spans="2:9" x14ac:dyDescent="0.25">
      <c r="B8" s="80" t="s">
        <v>40</v>
      </c>
      <c r="C8" s="83" t="s">
        <v>21</v>
      </c>
      <c r="F8" s="62"/>
      <c r="G8" s="62"/>
      <c r="H8" s="72" t="s">
        <v>2</v>
      </c>
      <c r="I8" s="103">
        <f ca="1">TODAY()</f>
        <v>46226</v>
      </c>
    </row>
    <row r="9" spans="2:9" x14ac:dyDescent="0.25">
      <c r="B9" s="80" t="s">
        <v>112</v>
      </c>
      <c r="F9" s="62"/>
      <c r="G9" s="62"/>
      <c r="H9" s="72" t="s">
        <v>3</v>
      </c>
      <c r="I9" s="104"/>
    </row>
    <row r="10" spans="2:9" x14ac:dyDescent="0.25">
      <c r="B10" s="80" t="s">
        <v>22</v>
      </c>
      <c r="C10" s="42"/>
      <c r="F10" s="62"/>
      <c r="G10" s="62"/>
      <c r="H10" s="72" t="s">
        <v>42</v>
      </c>
      <c r="I10" s="104"/>
    </row>
    <row r="11" spans="2:9" x14ac:dyDescent="0.25">
      <c r="B11" s="84" t="s">
        <v>4</v>
      </c>
      <c r="C11" s="42"/>
      <c r="F11" s="62"/>
      <c r="G11" s="62"/>
      <c r="H11" s="44"/>
      <c r="I11" s="41"/>
    </row>
    <row r="12" spans="2:9" x14ac:dyDescent="0.25">
      <c r="B12" s="80" t="s">
        <v>1</v>
      </c>
      <c r="D12" s="42"/>
      <c r="E12" s="42"/>
      <c r="F12" s="62"/>
      <c r="G12" s="62"/>
      <c r="H12" s="42"/>
      <c r="I12" s="41"/>
    </row>
    <row r="13" spans="2:9" x14ac:dyDescent="0.25">
      <c r="D13" s="42"/>
    </row>
    <row r="14" spans="2:9" x14ac:dyDescent="0.25">
      <c r="B14" s="50" t="s">
        <v>5</v>
      </c>
      <c r="C14" s="50"/>
      <c r="D14" s="51"/>
      <c r="E14" s="50" t="s">
        <v>6</v>
      </c>
      <c r="F14" s="64"/>
      <c r="G14" s="64"/>
      <c r="H14" s="50"/>
      <c r="I14" s="52"/>
    </row>
    <row r="15" spans="2:9" x14ac:dyDescent="0.25">
      <c r="B15" s="42"/>
      <c r="C15" s="42"/>
      <c r="D15" s="39"/>
      <c r="E15" s="42"/>
      <c r="F15" s="62"/>
      <c r="G15" s="62"/>
      <c r="H15" s="42"/>
      <c r="I15" s="39"/>
    </row>
    <row r="16" spans="2:9" x14ac:dyDescent="0.25">
      <c r="B16" s="145" t="str">
        <f>IF(num_client="","Raison sociale",_xlfn.XLOOKUP(num_client,table_clients[Numéro client],table_clients[Raison sociale],""))</f>
        <v>Raison sociale</v>
      </c>
      <c r="C16" s="146" t="str">
        <f>IF(num_client="","Nom Prénom",_xlfn.CONCAT(_xlfn.XLOOKUP(num_client,table_clients[Numéro client],table_clients[Nom],"")," ",_xlfn.XLOOKUP(num_client,table_clients[Numéro client],table_clients[Prénom],"")))</f>
        <v>Nom Prénom</v>
      </c>
      <c r="D16" s="39"/>
      <c r="E16" s="109" t="str">
        <f>IF(num_client="","Raison sociale",_xlfn.XLOOKUP(num_client,table_clients[Numéro client],table_clients[Raison sociale],""))</f>
        <v>Raison sociale</v>
      </c>
      <c r="F16" s="62"/>
      <c r="G16" s="62"/>
      <c r="H16" s="42"/>
      <c r="I16" s="39"/>
    </row>
    <row r="17" spans="2:12" x14ac:dyDescent="0.25">
      <c r="B17" s="146" t="str">
        <f>IF(num_client="","Nom commercial",_xlfn.XLOOKUP(num_client,table_clients[Numéro client],table_clients[Nom commercial],""))</f>
        <v>Nom commercial</v>
      </c>
      <c r="C17" s="147" t="str">
        <f>IF(num_client="","Téléphone",_xlfn.XLOOKUP(num_client,table_clients[Numéro client],table_clients[Téléphone],""))</f>
        <v>Téléphone</v>
      </c>
      <c r="D17" s="39"/>
      <c r="E17" s="58" t="str">
        <f>IF(num_client="","Nom Prénom",_xlfn.CONCAT(_xlfn.XLOOKUP(num_client,table_clients[Numéro client],table_clients[Nom],"")," ",_xlfn.XLOOKUP(num_client,table_clients[Numéro client],table_clients[Prénom],"")))</f>
        <v>Nom Prénom</v>
      </c>
      <c r="F17" s="62"/>
      <c r="G17" s="62"/>
      <c r="H17" s="42"/>
      <c r="I17" s="39"/>
    </row>
    <row r="18" spans="2:12" x14ac:dyDescent="0.25">
      <c r="B18" s="147" t="str">
        <f>IF(num_client="","Adresse",_xlfn.CONCAT(_xlfn.XLOOKUP(num_client,table_clients[Numéro client],table_clients[Facturation adresse 1],"")," ",_xlfn.XLOOKUP(num_client,table_clients[Numéro client],table_clients[Facturation adresse 2],"")))</f>
        <v>Adresse</v>
      </c>
      <c r="C18" s="150" t="str">
        <f>IF(num_client="","Email",IFERROR(_xlfn.XLOOKUP(num_client,table_clients[Numéro client],table_clients[Email],""),""))</f>
        <v>Email</v>
      </c>
      <c r="D18" s="39"/>
      <c r="E18" s="56" t="str">
        <f>IF(num_client="","Adresse",_xlfn.CONCAT(_xlfn.XLOOKUP(num_client,table_clients[Numéro client],table_clients[Livraison adresse 1],"")," ",_xlfn.XLOOKUP(num_client,table_clients[Numéro client],table_clients[Livraison adresse 2],"")))</f>
        <v>Adresse</v>
      </c>
      <c r="F18" s="62"/>
      <c r="G18" s="62"/>
      <c r="H18" s="42"/>
      <c r="I18" s="39"/>
    </row>
    <row r="19" spans="2:12" x14ac:dyDescent="0.25">
      <c r="B19" s="147" t="str">
        <f>IF(num_client="","CP",IFERROR(_xlfn.XLOOKUP(num_client,table_clients[Numéro client],table_clients[Facturation CP],""),""))</f>
        <v>CP</v>
      </c>
      <c r="C19" s="145" t="str">
        <f>IF(num_client="","TVA",_xlfn.XLOOKUP(num_client,table_clients[Numéro client],table_clients[TVA],""))</f>
        <v>TVA</v>
      </c>
      <c r="D19" s="39"/>
      <c r="E19" s="57" t="str">
        <f>IF(num_client="","CP Ville",_xlfn.CONCAT(_xlfn.XLOOKUP(num_client,table_clients[Numéro client],table_clients[Livraison CP],"")," ",_xlfn.XLOOKUP(num_client,table_clients[Numéro client],table_clients[Livraison Ville],"")))</f>
        <v>CP Ville</v>
      </c>
      <c r="F19" s="62"/>
      <c r="G19" s="62"/>
      <c r="H19" s="42"/>
      <c r="I19" s="39"/>
    </row>
    <row r="20" spans="2:12" x14ac:dyDescent="0.25">
      <c r="B20" s="148" t="str">
        <f>IF(num_client="","Ville",IFERROR(_xlfn.XLOOKUP(num_client,table_clients[Numéro client],table_clients[Facturation Ville],""),""))</f>
        <v>Ville</v>
      </c>
      <c r="C20" s="151" t="str">
        <f>IF(num_client="","Siret",TEXT(_xlfn.XLOOKUP(num_client,table_clients[Numéro client],table_clients[SIRET],""),"0"))</f>
        <v>Siret</v>
      </c>
      <c r="D20" s="39"/>
      <c r="E20" s="57" t="str">
        <f>IF(num_client="","Pays",IFERROR(_xlfn.XLOOKUP(num_client,table_clients[Numéro client],table_clients[Livraison Pays],""),""))</f>
        <v>Pays</v>
      </c>
      <c r="F20" s="62"/>
      <c r="G20" s="62"/>
      <c r="H20" s="42"/>
      <c r="I20" s="39"/>
    </row>
    <row r="21" spans="2:12" x14ac:dyDescent="0.25">
      <c r="B21" s="149" t="str">
        <f>IF(num_client="","Pays",IFERROR(_xlfn.XLOOKUP(num_client,table_clients[Numéro client],table_clients[Facturation Pays],""),""))</f>
        <v>Pays</v>
      </c>
      <c r="C21" s="2"/>
      <c r="D21" s="39"/>
      <c r="E21" s="5"/>
      <c r="F21" s="62"/>
      <c r="G21" s="62"/>
      <c r="H21" s="42"/>
      <c r="I21" s="39"/>
    </row>
    <row r="22" spans="2:12" x14ac:dyDescent="0.25">
      <c r="B22" s="110"/>
      <c r="D22" s="39"/>
      <c r="F22" s="62"/>
      <c r="G22" s="62"/>
      <c r="H22" s="42"/>
      <c r="I22" s="39"/>
    </row>
    <row r="23" spans="2:12" x14ac:dyDescent="0.25">
      <c r="B23" s="50" t="s">
        <v>26</v>
      </c>
      <c r="C23" s="50" t="s">
        <v>7</v>
      </c>
      <c r="D23" s="50" t="s">
        <v>8</v>
      </c>
      <c r="E23" s="50" t="s">
        <v>9</v>
      </c>
      <c r="F23" s="64" t="s">
        <v>17</v>
      </c>
      <c r="G23" s="64" t="s">
        <v>119</v>
      </c>
      <c r="H23" s="50" t="s">
        <v>23</v>
      </c>
      <c r="I23" s="50" t="s">
        <v>10</v>
      </c>
    </row>
    <row r="24" spans="2:12" ht="15.75" thickBot="1" x14ac:dyDescent="0.3">
      <c r="B24" s="53"/>
      <c r="C24" s="53" t="str">
        <f>IF(B24="","",_xlfn.XLOOKUP(B24,table_produits[Référence produit],table_produits[Description],""))</f>
        <v/>
      </c>
      <c r="D24" s="53"/>
      <c r="E24" s="54" t="str">
        <f>IF(B24="","",_xlfn.XLOOKUP(B24,table_produits[Référence produit],table_produits[Prix unitaire HT],""))</f>
        <v/>
      </c>
      <c r="F24" s="95" t="str">
        <f>IF(B24="","",_xlfn.XLOOKUP(B24,table_produits[Référence produit],table_produits[Taux TVA],""))</f>
        <v/>
      </c>
      <c r="G24" s="95" t="str">
        <f>IF(B24="","",_xlfn.XLOOKUP(B24,table_produits[Référence produit],table_produits[Cat],""))</f>
        <v/>
      </c>
      <c r="H24" s="54"/>
      <c r="I24" s="79">
        <f>IF(B24="",0,lignes_facture[[#This Row],[Quantité]]*lignes_facture[[#This Row],[Prix unitaire HT]]-lignes_facture[[#This Row],[Remise]])</f>
        <v>0</v>
      </c>
    </row>
    <row r="25" spans="2:12" ht="15.75" thickBot="1" x14ac:dyDescent="0.3">
      <c r="B25" s="53"/>
      <c r="C25" s="53" t="str">
        <f>IF(B25="","",_xlfn.XLOOKUP(B25,table_produits[Référence produit],table_produits[Description],""))</f>
        <v/>
      </c>
      <c r="D25" s="53"/>
      <c r="E25" s="54" t="str">
        <f>IF(B25="","",_xlfn.XLOOKUP(B25,table_produits[Référence produit],table_produits[Prix unitaire HT],""))</f>
        <v/>
      </c>
      <c r="F25" s="95" t="str">
        <f>IF(B25="","",_xlfn.XLOOKUP(B25,table_produits[Référence produit],table_produits[Taux TVA],""))</f>
        <v/>
      </c>
      <c r="G25" s="95" t="str">
        <f>IF(B25="","",_xlfn.XLOOKUP(B25,table_produits[Référence produit],table_produits[Cat],""))</f>
        <v/>
      </c>
      <c r="H25" s="54"/>
      <c r="I25" s="79">
        <f>IF(B25="",0,lignes_facture[[#This Row],[Quantité]]*lignes_facture[[#This Row],[Prix unitaire HT]]-lignes_facture[[#This Row],[Remise]])</f>
        <v>0</v>
      </c>
    </row>
    <row r="26" spans="2:12" x14ac:dyDescent="0.25">
      <c r="B26" s="59"/>
      <c r="C26" s="59" t="str">
        <f>IF(B26="","",_xlfn.XLOOKUP(B26,table_produits[Référence produit],table_produits[Description],""))</f>
        <v/>
      </c>
      <c r="D26" s="59"/>
      <c r="E26" s="60" t="str">
        <f>IF(B26="","",_xlfn.XLOOKUP(B26,table_produits[Référence produit],table_produits[Prix unitaire HT],""))</f>
        <v/>
      </c>
      <c r="F26" s="96" t="str">
        <f>IF(B26="","",_xlfn.XLOOKUP(B26,table_produits[Référence produit],table_produits[Taux TVA],""))</f>
        <v/>
      </c>
      <c r="G26" s="96" t="str">
        <f>IF(B26="","",_xlfn.XLOOKUP(B26,table_produits[Référence produit],table_produits[Cat],""))</f>
        <v/>
      </c>
      <c r="H26" s="60"/>
      <c r="I26" s="79">
        <f>IF(B26="",0,lignes_facture[[#This Row],[Quantité]]*lignes_facture[[#This Row],[Prix unitaire HT]]-lignes_facture[[#This Row],[Remise]])</f>
        <v>0</v>
      </c>
    </row>
    <row r="28" spans="2:12" x14ac:dyDescent="0.25">
      <c r="B28" s="161" t="s">
        <v>11</v>
      </c>
      <c r="C28" s="162"/>
      <c r="D28" s="163"/>
      <c r="F28" s="67"/>
      <c r="G28" s="67"/>
      <c r="H28" s="45" t="s">
        <v>15</v>
      </c>
      <c r="I28" s="11">
        <f>SUM(lignes_facture[Prix total HT])</f>
        <v>0</v>
      </c>
    </row>
    <row r="29" spans="2:12" ht="15" customHeight="1" x14ac:dyDescent="0.25">
      <c r="B29" s="164" t="e">
        <f>LEFT(regime_tva,FIND("-",regime_tva)-1)</f>
        <v>#VALUE!</v>
      </c>
      <c r="C29" s="165"/>
      <c r="D29" s="166"/>
      <c r="F29" s="67"/>
      <c r="G29" s="67"/>
      <c r="H29" s="45" t="s">
        <v>14</v>
      </c>
      <c r="I29" s="11">
        <f>SUMPRODUCT(lignes_facture[Prix total HT], lignes_facture[% TVA])</f>
        <v>0</v>
      </c>
    </row>
    <row r="30" spans="2:12" x14ac:dyDescent="0.25">
      <c r="B30" s="164" t="str">
        <f>config!PMD&amp;". "&amp;config!PMT&amp;". "&amp;config!AAB&amp;". "</f>
        <v xml:space="preserve">. . . </v>
      </c>
      <c r="C30" s="165"/>
      <c r="D30" s="166"/>
      <c r="F30" s="67"/>
      <c r="G30" s="67"/>
      <c r="H30" s="45" t="s">
        <v>12</v>
      </c>
      <c r="I30" s="11">
        <f>total_ht+total_tva</f>
        <v>0</v>
      </c>
    </row>
    <row r="31" spans="2:12" x14ac:dyDescent="0.25">
      <c r="B31" s="164"/>
      <c r="C31" s="165"/>
      <c r="D31" s="166"/>
      <c r="F31" s="67"/>
      <c r="G31" s="67"/>
      <c r="H31" s="45" t="s">
        <v>13</v>
      </c>
      <c r="I31" s="73">
        <v>0</v>
      </c>
    </row>
    <row r="32" spans="2:12" ht="21" x14ac:dyDescent="0.35">
      <c r="B32" s="167"/>
      <c r="C32" s="168"/>
      <c r="D32" s="169"/>
      <c r="F32" s="67"/>
      <c r="G32" s="67"/>
      <c r="H32" s="46" t="s">
        <v>16</v>
      </c>
      <c r="I32" s="18">
        <f>total_ttc-acompte</f>
        <v>0</v>
      </c>
      <c r="L32" s="78"/>
    </row>
    <row r="33" spans="2:9" x14ac:dyDescent="0.25">
      <c r="B33" s="47"/>
      <c r="C33" s="48"/>
      <c r="D33" s="47"/>
      <c r="E33" s="49"/>
      <c r="F33" s="68"/>
      <c r="G33" s="68"/>
      <c r="H33" s="39"/>
      <c r="I33" s="39"/>
    </row>
    <row r="34" spans="2:9" ht="40.5" customHeight="1" x14ac:dyDescent="0.25">
      <c r="B34" s="156" t="s">
        <v>27</v>
      </c>
      <c r="C34" s="157"/>
      <c r="D34" s="158"/>
      <c r="E34" s="158"/>
      <c r="F34" s="158"/>
      <c r="G34" s="158"/>
      <c r="H34" s="158"/>
      <c r="I34" s="158"/>
    </row>
    <row r="35" spans="2:9" x14ac:dyDescent="0.25">
      <c r="B35" s="47"/>
      <c r="C35" s="48"/>
      <c r="D35" s="47"/>
      <c r="E35" s="49"/>
      <c r="F35" s="68"/>
      <c r="G35" s="68"/>
      <c r="H35" s="39"/>
      <c r="I35" s="39"/>
    </row>
    <row r="36" spans="2:9" x14ac:dyDescent="0.25">
      <c r="B36" s="159" t="str">
        <f>IF(ISBLANK(footer), "", footer)</f>
        <v/>
      </c>
      <c r="C36" s="159"/>
      <c r="D36" s="160"/>
      <c r="E36" s="160"/>
      <c r="F36" s="160"/>
      <c r="G36" s="160"/>
      <c r="H36" s="160"/>
      <c r="I36" s="160"/>
    </row>
    <row r="37" spans="2:9" x14ac:dyDescent="0.25">
      <c r="B37" s="160"/>
      <c r="C37" s="160"/>
      <c r="D37" s="160"/>
      <c r="E37" s="160"/>
      <c r="F37" s="160"/>
      <c r="G37" s="160"/>
      <c r="H37" s="160"/>
      <c r="I37" s="160"/>
    </row>
    <row r="38" spans="2:9" x14ac:dyDescent="0.25">
      <c r="B38" s="160"/>
      <c r="C38" s="160"/>
      <c r="D38" s="160"/>
      <c r="E38" s="160"/>
      <c r="F38" s="160"/>
      <c r="G38" s="160"/>
      <c r="H38" s="160"/>
      <c r="I38" s="160"/>
    </row>
    <row r="39" spans="2:9" ht="5.25" customHeight="1" x14ac:dyDescent="0.25">
      <c r="B39" s="74"/>
      <c r="C39" s="74"/>
      <c r="D39" s="74"/>
      <c r="E39" s="74"/>
      <c r="F39" s="75"/>
      <c r="G39" s="75"/>
      <c r="H39" s="74"/>
      <c r="I39" s="74"/>
    </row>
    <row r="41" spans="2:9" x14ac:dyDescent="0.25">
      <c r="B41" s="77"/>
      <c r="C41" s="77"/>
    </row>
  </sheetData>
  <sheetProtection formatCells="0" formatColumns="0" formatRows="0" insertColumns="0" insertRows="0" deleteColumns="0" deleteRows="0"/>
  <mergeCells count="5">
    <mergeCell ref="B34:I34"/>
    <mergeCell ref="B36:I38"/>
    <mergeCell ref="B28:D28"/>
    <mergeCell ref="B29:D29"/>
    <mergeCell ref="B30:D32"/>
  </mergeCells>
  <phoneticPr fontId="18" type="noConversion"/>
  <dataValidations count="2">
    <dataValidation type="list" allowBlank="1" showInputMessage="1" showErrorMessage="1" sqref="B24:B26" xr:uid="{754F2F47-6F39-4060-8C82-F6AC240D9F17}">
      <formula1>ref_produit</formula1>
    </dataValidation>
    <dataValidation type="list" allowBlank="1" showInputMessage="1" showErrorMessage="1" sqref="I7" xr:uid="{26AEB1D7-03F8-446A-9CE4-334119D92BFB}">
      <formula1>ref_client</formula1>
    </dataValidation>
  </dataValidations>
  <pageMargins left="0.7" right="0.7" top="0.75" bottom="0.75" header="0.3" footer="0.3"/>
  <pageSetup paperSize="9" scale="65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A5FEC-6A62-487A-B625-F70127CA37AE}">
  <dimension ref="B1:K41"/>
  <sheetViews>
    <sheetView zoomScale="113" zoomScaleNormal="113" workbookViewId="0">
      <selection activeCell="K6" sqref="K6"/>
    </sheetView>
  </sheetViews>
  <sheetFormatPr baseColWidth="10" defaultColWidth="11.42578125" defaultRowHeight="15" x14ac:dyDescent="0.25"/>
  <cols>
    <col min="1" max="1" width="2.7109375" style="4" customWidth="1"/>
    <col min="2" max="2" width="24.5703125" style="4" customWidth="1"/>
    <col min="3" max="3" width="31.140625" style="4" customWidth="1"/>
    <col min="4" max="4" width="10" style="4" customWidth="1"/>
    <col min="5" max="5" width="21.140625" style="4" customWidth="1"/>
    <col min="6" max="6" width="8" style="4" customWidth="1"/>
    <col min="7" max="7" width="4" style="4" hidden="1" customWidth="1"/>
    <col min="8" max="8" width="15.42578125" style="4" customWidth="1"/>
    <col min="9" max="9" width="18" style="4" customWidth="1"/>
    <col min="10" max="10" width="2.7109375" style="4" customWidth="1"/>
    <col min="11" max="16384" width="11.42578125" style="4"/>
  </cols>
  <sheetData>
    <row r="1" spans="2:11" ht="10.5" customHeight="1" x14ac:dyDescent="0.25"/>
    <row r="2" spans="2:11" ht="3.75" customHeight="1" x14ac:dyDescent="0.25">
      <c r="B2" s="13"/>
      <c r="C2" s="13"/>
      <c r="D2" s="13"/>
      <c r="E2" s="13"/>
      <c r="F2" s="13"/>
      <c r="G2" s="13"/>
      <c r="H2" s="13"/>
      <c r="I2" s="13"/>
    </row>
    <row r="3" spans="2:11" ht="12.75" customHeight="1" x14ac:dyDescent="0.25"/>
    <row r="4" spans="2:11" s="1" customFormat="1" ht="111.75" customHeight="1" x14ac:dyDescent="0.25">
      <c r="B4" s="7"/>
      <c r="C4" s="7"/>
      <c r="D4" s="8"/>
      <c r="E4" s="14" t="s">
        <v>34</v>
      </c>
      <c r="F4" s="10"/>
      <c r="G4" s="10"/>
      <c r="I4" s="9"/>
    </row>
    <row r="5" spans="2:11" s="1" customFormat="1" ht="12.75" customHeight="1" x14ac:dyDescent="0.25">
      <c r="B5" s="7"/>
      <c r="C5" s="7"/>
      <c r="D5" s="8"/>
      <c r="E5" s="14"/>
      <c r="F5" s="10"/>
      <c r="G5" s="10"/>
      <c r="H5" s="10"/>
      <c r="I5" s="9"/>
    </row>
    <row r="6" spans="2:11" s="1" customFormat="1" ht="13.5" customHeight="1" x14ac:dyDescent="0.25">
      <c r="B6" s="81" t="s">
        <v>36</v>
      </c>
      <c r="C6" s="80" t="s">
        <v>19</v>
      </c>
      <c r="D6" s="8"/>
      <c r="F6" s="10"/>
      <c r="G6" s="10"/>
      <c r="H6" s="19" t="s">
        <v>35</v>
      </c>
      <c r="I6" s="152"/>
      <c r="K6" s="155"/>
    </row>
    <row r="7" spans="2:11" x14ac:dyDescent="0.25">
      <c r="B7" s="82" t="s">
        <v>37</v>
      </c>
      <c r="C7" s="80" t="s">
        <v>20</v>
      </c>
      <c r="F7" s="5"/>
      <c r="G7" s="5"/>
      <c r="H7" s="20" t="s">
        <v>152</v>
      </c>
      <c r="I7" s="154"/>
    </row>
    <row r="8" spans="2:11" x14ac:dyDescent="0.25">
      <c r="B8" s="80" t="s">
        <v>40</v>
      </c>
      <c r="C8" s="83" t="s">
        <v>21</v>
      </c>
      <c r="F8" s="5"/>
      <c r="G8" s="5"/>
      <c r="H8" s="20" t="s">
        <v>24</v>
      </c>
      <c r="I8" s="105"/>
    </row>
    <row r="9" spans="2:11" x14ac:dyDescent="0.25">
      <c r="B9" s="80" t="s">
        <v>39</v>
      </c>
      <c r="C9" s="43"/>
      <c r="F9" s="5"/>
      <c r="G9" s="5"/>
      <c r="H9" s="20" t="s">
        <v>41</v>
      </c>
      <c r="I9" s="106">
        <f ca="1">TODAY()</f>
        <v>46226</v>
      </c>
    </row>
    <row r="10" spans="2:11" x14ac:dyDescent="0.25">
      <c r="B10" s="80" t="s">
        <v>22</v>
      </c>
      <c r="C10" s="42"/>
      <c r="F10" s="5"/>
      <c r="G10" s="5"/>
      <c r="H10" s="20"/>
      <c r="I10" s="2"/>
    </row>
    <row r="11" spans="2:11" x14ac:dyDescent="0.25">
      <c r="B11" s="84" t="s">
        <v>4</v>
      </c>
      <c r="C11" s="42"/>
      <c r="D11" s="5"/>
      <c r="E11" s="5"/>
      <c r="F11" s="5"/>
      <c r="G11" s="5"/>
      <c r="H11" s="5"/>
      <c r="I11" s="2"/>
    </row>
    <row r="12" spans="2:11" x14ac:dyDescent="0.25">
      <c r="B12" s="80" t="s">
        <v>1</v>
      </c>
      <c r="C12" s="43"/>
      <c r="D12" s="5"/>
      <c r="E12" s="5"/>
      <c r="F12" s="5"/>
      <c r="G12" s="5"/>
      <c r="H12" s="5"/>
      <c r="I12" s="2"/>
    </row>
    <row r="13" spans="2:11" x14ac:dyDescent="0.25">
      <c r="B13" s="5"/>
      <c r="C13" s="5"/>
      <c r="D13" s="5"/>
      <c r="E13" s="5"/>
      <c r="F13" s="5"/>
      <c r="G13" s="5"/>
      <c r="H13" s="5"/>
      <c r="I13" s="2"/>
    </row>
    <row r="14" spans="2:11" x14ac:dyDescent="0.25">
      <c r="B14" s="50" t="s">
        <v>44</v>
      </c>
      <c r="C14" s="50"/>
      <c r="D14" s="50"/>
      <c r="E14" s="50"/>
      <c r="F14" s="50"/>
      <c r="G14" s="50"/>
      <c r="H14" s="50"/>
      <c r="I14" s="50"/>
    </row>
    <row r="15" spans="2:11" x14ac:dyDescent="0.25">
      <c r="B15" s="5"/>
      <c r="C15" s="5"/>
      <c r="D15" s="3"/>
      <c r="E15" s="5"/>
      <c r="F15" s="5"/>
      <c r="G15" s="5"/>
      <c r="H15" s="5"/>
      <c r="I15" s="3"/>
    </row>
    <row r="16" spans="2:11" x14ac:dyDescent="0.25">
      <c r="B16" s="57" t="str">
        <f>IF(num_client="","Raison sociale",_xlfn.XLOOKUP(num_client,table_clients[Numéro client],table_clients[Raison sociale],""))</f>
        <v>Raison sociale</v>
      </c>
      <c r="C16" s="57" t="str">
        <f>IF(num_client="","Nom Prénom",_xlfn.CONCAT(_xlfn.XLOOKUP(num_client,table_clients[Numéro client],table_clients[Nom],"")," ",_xlfn.XLOOKUP(num_client,table_clients[Numéro client],table_clients[Prénom],"")))</f>
        <v>Nom Prénom</v>
      </c>
      <c r="D16" s="39"/>
      <c r="E16" s="41"/>
      <c r="F16" s="5"/>
      <c r="G16" s="5"/>
      <c r="H16" s="5"/>
      <c r="I16" s="3"/>
    </row>
    <row r="17" spans="2:9" x14ac:dyDescent="0.25">
      <c r="B17" s="57" t="str">
        <f>IF(num_client="","Nom commercial",_xlfn.XLOOKUP(num_client,table_clients[Numéro client],table_clients[Nom commercial],""))</f>
        <v>Nom commercial</v>
      </c>
      <c r="C17" s="57" t="str">
        <f>IF(num_client="","Téléphone",_xlfn.XLOOKUP(num_client,table_clients[Numéro client],table_clients[Téléphone],""))</f>
        <v>Téléphone</v>
      </c>
      <c r="D17" s="39"/>
      <c r="E17" s="41"/>
      <c r="F17" s="5"/>
      <c r="G17" s="5"/>
      <c r="H17" s="5"/>
      <c r="I17" s="3"/>
    </row>
    <row r="18" spans="2:9" x14ac:dyDescent="0.25">
      <c r="B18" s="57" t="str">
        <f>IF(num_client="","Adresse",_xlfn.CONCAT(_xlfn.XLOOKUP(num_client,table_clients[Numéro client],table_clients[Facturation adresse 1],"")," ",_xlfn.XLOOKUP(num_client,table_clients[Numéro client],table_clients[Facturation adresse 2],"")))</f>
        <v>Adresse</v>
      </c>
      <c r="C18" s="57" t="str">
        <f>IF(num_client="","Email",IFERROR(_xlfn.XLOOKUP(num_client,table_clients[Numéro client],table_clients[Email],""),""))</f>
        <v>Email</v>
      </c>
      <c r="D18" s="39"/>
      <c r="E18" s="41"/>
      <c r="F18" s="5"/>
      <c r="G18" s="5"/>
      <c r="H18" s="5"/>
      <c r="I18" s="3"/>
    </row>
    <row r="19" spans="2:9" x14ac:dyDescent="0.25">
      <c r="B19" s="57" t="str">
        <f>IF(num_client="","CP",IFERROR(_xlfn.XLOOKUP(num_client,table_clients[Numéro client],table_clients[Facturation CP],""),""))</f>
        <v>CP</v>
      </c>
      <c r="C19" s="57" t="str">
        <f>IF(num_client="","TVA",_xlfn.XLOOKUP(num_client,table_clients[Numéro client],table_clients[TVA],""))</f>
        <v>TVA</v>
      </c>
      <c r="D19" s="39"/>
      <c r="E19" s="41"/>
      <c r="F19" s="5"/>
      <c r="G19" s="5"/>
      <c r="H19" s="5"/>
      <c r="I19" s="3"/>
    </row>
    <row r="20" spans="2:9" x14ac:dyDescent="0.25">
      <c r="B20" s="57" t="str">
        <f>IF(num_client="","Ville",IFERROR(_xlfn.XLOOKUP(num_client,table_clients[Numéro client],table_clients[Facturation Ville],""),""))</f>
        <v>Ville</v>
      </c>
      <c r="C20" s="57" t="str">
        <f>IF(num_client="","Siret",TEXT(_xlfn.XLOOKUP(num_client,table_clients[Numéro client],table_clients[SIRET],""),"0"))</f>
        <v>Siret</v>
      </c>
      <c r="D20" s="39"/>
      <c r="E20" s="41"/>
      <c r="F20" s="5"/>
      <c r="G20" s="5"/>
      <c r="H20" s="5"/>
      <c r="I20" s="3"/>
    </row>
    <row r="21" spans="2:9" x14ac:dyDescent="0.25">
      <c r="B21" s="57" t="str">
        <f>IF(num_client="","Pays",IFERROR(_xlfn.XLOOKUP(num_client,table_clients[Numéro client],table_clients[Facturation Pays],""),""))</f>
        <v>Pays</v>
      </c>
      <c r="C21" s="43"/>
      <c r="D21" s="39"/>
      <c r="E21" s="41"/>
      <c r="F21" s="5"/>
      <c r="G21" s="5"/>
      <c r="H21" s="5"/>
      <c r="I21" s="3"/>
    </row>
    <row r="23" spans="2:9" x14ac:dyDescent="0.25">
      <c r="B23" s="50" t="s">
        <v>26</v>
      </c>
      <c r="C23" s="50" t="s">
        <v>7</v>
      </c>
      <c r="D23" s="50" t="s">
        <v>8</v>
      </c>
      <c r="E23" s="50" t="s">
        <v>9</v>
      </c>
      <c r="F23" s="64" t="s">
        <v>17</v>
      </c>
      <c r="G23" s="64" t="s">
        <v>119</v>
      </c>
      <c r="H23" s="50" t="s">
        <v>23</v>
      </c>
      <c r="I23" s="50" t="s">
        <v>10</v>
      </c>
    </row>
    <row r="24" spans="2:9" ht="15.75" thickBot="1" x14ac:dyDescent="0.3">
      <c r="B24" s="53"/>
      <c r="C24" s="53" t="str">
        <f>IF(B24="","",_xlfn.XLOOKUP(B24,table_produits[Référence produit],table_produits[Description],""))</f>
        <v/>
      </c>
      <c r="D24" s="53"/>
      <c r="E24" s="54" t="str">
        <f>IF(B24="","",_xlfn.XLOOKUP(B24,table_produits[Référence produit],table_produits[Prix unitaire HT],""))</f>
        <v/>
      </c>
      <c r="F24" s="65" t="str">
        <f>IF(B24="","",_xlfn.XLOOKUP(B24,table_produits[Référence produit],table_produits[Taux TVA],""))</f>
        <v/>
      </c>
      <c r="G24" s="65" t="str">
        <f>IF(B24="","",_xlfn.XLOOKUP(B24,table_produits[Référence produit],table_produits[Cat],""))</f>
        <v/>
      </c>
      <c r="H24" s="54"/>
      <c r="I24" s="79">
        <f>IF(B24="",0,lignes_avoir[[#This Row],[Quantité]]*lignes_avoir[[#This Row],[Prix unitaire HT]]-lignes_avoir[[#This Row],[Remise]])</f>
        <v>0</v>
      </c>
    </row>
    <row r="25" spans="2:9" ht="15.75" thickBot="1" x14ac:dyDescent="0.3">
      <c r="B25" s="53"/>
      <c r="C25" s="53" t="str">
        <f>IF(B25="","",_xlfn.XLOOKUP(B25,table_produits[Référence produit],table_produits[Description],""))</f>
        <v/>
      </c>
      <c r="D25" s="53"/>
      <c r="E25" s="54" t="str">
        <f>IF(B25="","",_xlfn.XLOOKUP(B25,table_produits[Référence produit],table_produits[Prix unitaire HT],""))</f>
        <v/>
      </c>
      <c r="F25" s="65" t="str">
        <f>IF(B25="","",_xlfn.XLOOKUP(B25,table_produits[Référence produit],table_produits[Taux TVA],""))</f>
        <v/>
      </c>
      <c r="G25" s="65" t="str">
        <f>IF(B25="","",_xlfn.XLOOKUP(B25,table_produits[Référence produit],table_produits[Cat],""))</f>
        <v/>
      </c>
      <c r="H25" s="54"/>
      <c r="I25" s="79">
        <f>IF(B25="",0,lignes_avoir[[#This Row],[Quantité]]*lignes_avoir[[#This Row],[Prix unitaire HT]]-lignes_avoir[[#This Row],[Remise]])</f>
        <v>0</v>
      </c>
    </row>
    <row r="26" spans="2:9" ht="15.75" thickBot="1" x14ac:dyDescent="0.3">
      <c r="B26" s="53"/>
      <c r="C26" s="59" t="str">
        <f>IF(B26="","",_xlfn.XLOOKUP(B26,table_produits[Référence produit],table_produits[Description],""))</f>
        <v/>
      </c>
      <c r="D26" s="59"/>
      <c r="E26" s="60" t="str">
        <f>IF(B26="","",_xlfn.XLOOKUP(B26,table_produits[Référence produit],table_produits[Prix unitaire HT],""))</f>
        <v/>
      </c>
      <c r="F26" s="66" t="str">
        <f>IF(B26="","",_xlfn.XLOOKUP(B26,table_produits[Référence produit],table_produits[Taux TVA],""))</f>
        <v/>
      </c>
      <c r="G26" s="66" t="str">
        <f>IF(B26="","",_xlfn.XLOOKUP(B26,table_produits[Référence produit],table_produits[Cat],""))</f>
        <v/>
      </c>
      <c r="H26" s="60"/>
      <c r="I26" s="79">
        <f>IF(B26="",0,lignes_avoir[[#This Row],[Quantité]]*lignes_avoir[[#This Row],[Prix unitaire HT]]-lignes_avoir[[#This Row],[Remise]])</f>
        <v>0</v>
      </c>
    </row>
    <row r="28" spans="2:9" x14ac:dyDescent="0.25">
      <c r="B28" s="161" t="s">
        <v>11</v>
      </c>
      <c r="C28" s="162"/>
      <c r="D28" s="163"/>
      <c r="F28" s="3"/>
      <c r="G28" s="3"/>
      <c r="H28" s="16" t="s">
        <v>15</v>
      </c>
      <c r="I28" s="11">
        <f>SUM(lignes_avoir[Prix total HT])</f>
        <v>0</v>
      </c>
    </row>
    <row r="29" spans="2:9" ht="15" customHeight="1" x14ac:dyDescent="0.25">
      <c r="B29" s="164" t="e">
        <f>LEFT(regime_tva,FIND("-",regime_tva)-1)</f>
        <v>#VALUE!</v>
      </c>
      <c r="C29" s="165"/>
      <c r="D29" s="166"/>
      <c r="F29" s="3"/>
      <c r="G29" s="3"/>
      <c r="H29" s="16" t="s">
        <v>14</v>
      </c>
      <c r="I29" s="11">
        <f>SUMPRODUCT(lignes_avoir[Prix total HT], lignes_avoir[% TVA])</f>
        <v>0</v>
      </c>
    </row>
    <row r="30" spans="2:9" x14ac:dyDescent="0.25">
      <c r="B30" s="164" t="str">
        <f>config!PMD&amp;". "&amp;config!PMT&amp;". "&amp;config!AAB&amp;". "</f>
        <v xml:space="preserve">. . . </v>
      </c>
      <c r="C30" s="165"/>
      <c r="D30" s="166"/>
      <c r="F30" s="3"/>
      <c r="G30" s="3"/>
      <c r="H30" s="16" t="s">
        <v>12</v>
      </c>
      <c r="I30" s="11" cm="1">
        <f t="array" ref="I30">total_ht+total_tva</f>
        <v>0</v>
      </c>
    </row>
    <row r="31" spans="2:9" x14ac:dyDescent="0.25">
      <c r="B31" s="164"/>
      <c r="C31" s="165"/>
      <c r="D31" s="166"/>
      <c r="F31" s="3"/>
      <c r="G31" s="3"/>
      <c r="H31" s="45" t="s">
        <v>13</v>
      </c>
      <c r="I31" s="114">
        <v>0</v>
      </c>
    </row>
    <row r="32" spans="2:9" ht="21" x14ac:dyDescent="0.35">
      <c r="B32" s="167"/>
      <c r="C32" s="168"/>
      <c r="D32" s="169"/>
      <c r="F32" s="3"/>
      <c r="G32" s="3"/>
      <c r="H32" s="17" t="s">
        <v>16</v>
      </c>
      <c r="I32" s="18">
        <f>total_ttc-acompte</f>
        <v>0</v>
      </c>
    </row>
    <row r="33" spans="2:9" x14ac:dyDescent="0.25">
      <c r="B33" s="24"/>
      <c r="C33" s="25"/>
      <c r="D33" s="24"/>
      <c r="E33" s="23"/>
      <c r="F33" s="23"/>
      <c r="G33" s="23"/>
      <c r="H33" s="3"/>
      <c r="I33" s="3"/>
    </row>
    <row r="34" spans="2:9" ht="40.5" customHeight="1" x14ac:dyDescent="0.25">
      <c r="B34" s="179" t="s">
        <v>27</v>
      </c>
      <c r="C34" s="180"/>
      <c r="D34" s="181"/>
      <c r="E34" s="181"/>
      <c r="F34" s="181"/>
      <c r="G34" s="181"/>
      <c r="H34" s="181"/>
      <c r="I34" s="181"/>
    </row>
    <row r="35" spans="2:9" x14ac:dyDescent="0.25">
      <c r="B35" s="24"/>
      <c r="C35" s="25"/>
      <c r="D35" s="24"/>
      <c r="E35" s="23"/>
      <c r="F35" s="23"/>
      <c r="G35" s="23"/>
      <c r="H35" s="3"/>
      <c r="I35" s="3"/>
    </row>
    <row r="36" spans="2:9" x14ac:dyDescent="0.25">
      <c r="B36" s="159" t="str">
        <f>IF(ISBLANK(footer), "", footer)</f>
        <v/>
      </c>
      <c r="C36" s="159"/>
      <c r="D36" s="160"/>
      <c r="E36" s="160"/>
      <c r="F36" s="160"/>
      <c r="G36" s="160"/>
      <c r="H36" s="160"/>
      <c r="I36" s="160"/>
    </row>
    <row r="37" spans="2:9" x14ac:dyDescent="0.25">
      <c r="B37" s="160"/>
      <c r="C37" s="160"/>
      <c r="D37" s="160"/>
      <c r="E37" s="160"/>
      <c r="F37" s="160"/>
      <c r="G37" s="160"/>
      <c r="H37" s="160"/>
      <c r="I37" s="160"/>
    </row>
    <row r="38" spans="2:9" x14ac:dyDescent="0.25">
      <c r="B38" s="160"/>
      <c r="C38" s="160"/>
      <c r="D38" s="160"/>
      <c r="E38" s="160"/>
      <c r="F38" s="160"/>
      <c r="G38" s="160"/>
      <c r="H38" s="160"/>
      <c r="I38" s="160"/>
    </row>
    <row r="39" spans="2:9" ht="5.25" customHeight="1" x14ac:dyDescent="0.25">
      <c r="B39" s="13"/>
      <c r="C39" s="13"/>
      <c r="D39" s="13"/>
      <c r="E39" s="13"/>
      <c r="F39" s="13"/>
      <c r="G39" s="13"/>
      <c r="H39" s="13"/>
      <c r="I39" s="13"/>
    </row>
    <row r="41" spans="2:9" x14ac:dyDescent="0.25">
      <c r="B41" s="6"/>
      <c r="C41" s="6"/>
    </row>
  </sheetData>
  <mergeCells count="5">
    <mergeCell ref="B34:I34"/>
    <mergeCell ref="B36:I38"/>
    <mergeCell ref="B28:D28"/>
    <mergeCell ref="B29:D29"/>
    <mergeCell ref="B30:D32"/>
  </mergeCells>
  <dataValidations count="2">
    <dataValidation type="list" allowBlank="1" showInputMessage="1" showErrorMessage="1" sqref="I8" xr:uid="{20F82377-EA80-476D-91E5-E8297DF942F7}">
      <formula1>ref_client</formula1>
    </dataValidation>
    <dataValidation type="list" allowBlank="1" showInputMessage="1" showErrorMessage="1" sqref="B24:B26" xr:uid="{05F9AAD3-5F57-43DE-9641-8B569CD953E3}">
      <formula1>ref_produit</formula1>
    </dataValidation>
  </dataValidations>
  <pageMargins left="0.7" right="0.7" top="0.75" bottom="0.75" header="0.3" footer="0.3"/>
  <pageSetup paperSize="9" scale="65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F250-C848-4BE5-903D-0EC29A6D7895}">
  <dimension ref="A1:V2"/>
  <sheetViews>
    <sheetView topLeftCell="B1" workbookViewId="0">
      <selection activeCell="A2" sqref="A2:V2"/>
    </sheetView>
  </sheetViews>
  <sheetFormatPr baseColWidth="10" defaultRowHeight="15" x14ac:dyDescent="0.25"/>
  <cols>
    <col min="1" max="1" width="16.42578125" bestFit="1" customWidth="1"/>
    <col min="2" max="2" width="13.140625" bestFit="1" customWidth="1"/>
    <col min="3" max="3" width="16.7109375" bestFit="1" customWidth="1"/>
    <col min="4" max="4" width="6.85546875" bestFit="1" customWidth="1"/>
    <col min="5" max="5" width="8.5703125" bestFit="1" customWidth="1"/>
    <col min="6" max="6" width="19.5703125" bestFit="1" customWidth="1"/>
    <col min="7" max="7" width="8.140625" bestFit="1" customWidth="1"/>
    <col min="8" max="8" width="10.5703125" bestFit="1" customWidth="1"/>
    <col min="9" max="10" width="23.5703125" bestFit="1" customWidth="1"/>
    <col min="11" max="11" width="19.42578125" bestFit="1" customWidth="1"/>
    <col min="12" max="12" width="18.7109375" bestFit="1" customWidth="1"/>
    <col min="13" max="13" width="19" bestFit="1" customWidth="1"/>
    <col min="14" max="15" width="21" bestFit="1" customWidth="1"/>
    <col min="16" max="16" width="17" bestFit="1" customWidth="1"/>
    <col min="17" max="17" width="16.140625" bestFit="1" customWidth="1"/>
    <col min="18" max="18" width="16.42578125" bestFit="1" customWidth="1"/>
    <col min="19" max="19" width="12.85546875" bestFit="1" customWidth="1"/>
    <col min="20" max="20" width="25.7109375" bestFit="1" customWidth="1"/>
    <col min="21" max="21" width="14.7109375" bestFit="1" customWidth="1"/>
    <col min="22" max="22" width="13.85546875" bestFit="1" customWidth="1"/>
  </cols>
  <sheetData>
    <row r="1" spans="1:22" ht="15.75" x14ac:dyDescent="0.25">
      <c r="A1" s="128" t="s">
        <v>126</v>
      </c>
      <c r="B1" s="129" t="s">
        <v>127</v>
      </c>
      <c r="C1" s="130" t="s">
        <v>128</v>
      </c>
      <c r="D1" s="130" t="s">
        <v>19</v>
      </c>
      <c r="E1" s="130" t="s">
        <v>129</v>
      </c>
      <c r="F1" s="130" t="s">
        <v>37</v>
      </c>
      <c r="G1" s="130" t="s">
        <v>130</v>
      </c>
      <c r="H1" s="130" t="s">
        <v>131</v>
      </c>
      <c r="I1" s="130" t="s">
        <v>132</v>
      </c>
      <c r="J1" s="130" t="s">
        <v>133</v>
      </c>
      <c r="K1" s="131" t="s">
        <v>134</v>
      </c>
      <c r="L1" s="130" t="s">
        <v>135</v>
      </c>
      <c r="M1" s="130" t="s">
        <v>136</v>
      </c>
      <c r="N1" s="130" t="s">
        <v>137</v>
      </c>
      <c r="O1" s="130" t="s">
        <v>138</v>
      </c>
      <c r="P1" s="131" t="s">
        <v>139</v>
      </c>
      <c r="Q1" s="130" t="s">
        <v>140</v>
      </c>
      <c r="R1" s="130" t="s">
        <v>141</v>
      </c>
      <c r="S1" s="132" t="s">
        <v>4</v>
      </c>
      <c r="T1" s="130" t="s">
        <v>1</v>
      </c>
      <c r="U1" s="130" t="s">
        <v>142</v>
      </c>
      <c r="V1" s="133" t="s">
        <v>25</v>
      </c>
    </row>
    <row r="2" spans="1:22" x14ac:dyDescent="0.25">
      <c r="A2" s="21"/>
      <c r="B2" s="22"/>
      <c r="C2" s="134"/>
      <c r="D2" s="134"/>
      <c r="E2" s="134"/>
      <c r="F2" s="134"/>
      <c r="G2" s="134"/>
      <c r="H2" s="134"/>
      <c r="I2" s="22"/>
      <c r="J2" s="22"/>
      <c r="K2" s="135"/>
      <c r="L2" s="22"/>
      <c r="M2" s="22"/>
      <c r="N2" s="22"/>
      <c r="O2" s="22"/>
      <c r="P2" s="135"/>
      <c r="Q2" s="22"/>
      <c r="R2" s="22"/>
      <c r="S2" s="136"/>
      <c r="T2" s="137"/>
      <c r="U2" s="22"/>
      <c r="V2" s="13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E3302-30D6-4823-9E76-8F98DF1B064E}">
  <dimension ref="A1:H2"/>
  <sheetViews>
    <sheetView workbookViewId="0">
      <selection activeCell="H17" sqref="H17"/>
    </sheetView>
  </sheetViews>
  <sheetFormatPr baseColWidth="10" defaultRowHeight="15" x14ac:dyDescent="0.25"/>
  <cols>
    <col min="1" max="1" width="25.5703125" customWidth="1"/>
    <col min="2" max="2" width="34.7109375" customWidth="1"/>
    <col min="3" max="3" width="32.5703125" style="26" customWidth="1"/>
    <col min="4" max="4" width="56.5703125" style="26" customWidth="1"/>
    <col min="5" max="5" width="11.42578125" style="26"/>
    <col min="6" max="6" width="6.42578125" style="26" customWidth="1"/>
    <col min="7" max="7" width="14.140625" style="26" customWidth="1"/>
    <col min="8" max="8" width="16.140625" customWidth="1"/>
  </cols>
  <sheetData>
    <row r="1" spans="1:8" ht="15.75" x14ac:dyDescent="0.25">
      <c r="A1" s="27" t="s">
        <v>32</v>
      </c>
      <c r="B1" s="28" t="s">
        <v>7</v>
      </c>
      <c r="C1" s="29" t="s">
        <v>9</v>
      </c>
      <c r="D1" s="29" t="s">
        <v>110</v>
      </c>
      <c r="E1" s="31" t="s">
        <v>33</v>
      </c>
      <c r="F1" s="120" t="s">
        <v>119</v>
      </c>
      <c r="G1" s="120" t="s">
        <v>121</v>
      </c>
      <c r="H1" s="33" t="s">
        <v>25</v>
      </c>
    </row>
    <row r="2" spans="1:8" x14ac:dyDescent="0.25">
      <c r="A2" s="21"/>
      <c r="B2" s="22"/>
      <c r="C2" s="30"/>
      <c r="D2" s="30"/>
      <c r="E2" s="32"/>
      <c r="F2" s="121"/>
      <c r="G2" s="121"/>
      <c r="H2" s="34"/>
    </row>
  </sheetData>
  <phoneticPr fontId="18" type="noConversion"/>
  <dataValidations count="1">
    <dataValidation type="list" allowBlank="1" showInputMessage="1" showErrorMessage="1" sqref="D2" xr:uid="{B0408DDC-E860-48F9-8F90-13EF1D5FB06C}">
      <formula1>liste_cat_taxes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3378A-CCB9-4724-A89B-B12F41EDD31C}">
  <dimension ref="A2:E44"/>
  <sheetViews>
    <sheetView workbookViewId="0">
      <selection activeCell="B49" sqref="B49"/>
    </sheetView>
  </sheetViews>
  <sheetFormatPr baseColWidth="10" defaultRowHeight="15" x14ac:dyDescent="0.25"/>
  <cols>
    <col min="1" max="1" width="6.7109375" customWidth="1"/>
    <col min="2" max="2" width="55" style="85" customWidth="1"/>
    <col min="3" max="3" width="69.42578125" customWidth="1"/>
    <col min="4" max="4" width="64.85546875" style="90" customWidth="1"/>
    <col min="5" max="5" width="54.7109375" style="90" customWidth="1"/>
    <col min="6" max="6" width="78.140625" customWidth="1"/>
  </cols>
  <sheetData>
    <row r="2" spans="1:5" x14ac:dyDescent="0.25">
      <c r="A2" s="85" t="s">
        <v>125</v>
      </c>
      <c r="E2" s="90" t="s">
        <v>120</v>
      </c>
    </row>
    <row r="3" spans="1:5" ht="30" x14ac:dyDescent="0.25">
      <c r="A3" s="91" t="s">
        <v>122</v>
      </c>
      <c r="B3" s="92">
        <v>0.2</v>
      </c>
      <c r="C3" s="93" t="s">
        <v>62</v>
      </c>
      <c r="D3" s="91" t="s">
        <v>72</v>
      </c>
      <c r="E3" s="91" t="s">
        <v>74</v>
      </c>
    </row>
    <row r="4" spans="1:5" x14ac:dyDescent="0.25">
      <c r="A4" s="87" t="s">
        <v>122</v>
      </c>
      <c r="B4" s="88">
        <v>0.1</v>
      </c>
      <c r="C4" s="86" t="s">
        <v>63</v>
      </c>
      <c r="D4" s="87"/>
      <c r="E4" s="87" t="s">
        <v>75</v>
      </c>
    </row>
    <row r="5" spans="1:5" x14ac:dyDescent="0.25">
      <c r="A5" s="87" t="s">
        <v>122</v>
      </c>
      <c r="B5" s="89">
        <v>5.5E-2</v>
      </c>
      <c r="C5" s="86" t="s">
        <v>64</v>
      </c>
      <c r="D5" s="87"/>
      <c r="E5" s="87" t="s">
        <v>76</v>
      </c>
    </row>
    <row r="6" spans="1:5" x14ac:dyDescent="0.25">
      <c r="A6" s="87" t="s">
        <v>122</v>
      </c>
      <c r="B6" s="89">
        <v>2.1000000000000001E-2</v>
      </c>
      <c r="C6" s="86" t="s">
        <v>65</v>
      </c>
      <c r="D6" s="87"/>
      <c r="E6" s="87" t="s">
        <v>77</v>
      </c>
    </row>
    <row r="7" spans="1:5" x14ac:dyDescent="0.25">
      <c r="A7" s="87" t="s">
        <v>122</v>
      </c>
      <c r="B7" s="88">
        <v>0</v>
      </c>
      <c r="C7" s="86" t="s">
        <v>66</v>
      </c>
      <c r="D7" s="87"/>
      <c r="E7" s="87" t="s">
        <v>78</v>
      </c>
    </row>
    <row r="8" spans="1:5" ht="30" x14ac:dyDescent="0.25">
      <c r="A8" s="91" t="s">
        <v>45</v>
      </c>
      <c r="B8" s="92">
        <v>0.2</v>
      </c>
      <c r="C8" s="93" t="s">
        <v>67</v>
      </c>
      <c r="D8" s="91" t="s">
        <v>73</v>
      </c>
      <c r="E8" s="91" t="s">
        <v>79</v>
      </c>
    </row>
    <row r="9" spans="1:5" x14ac:dyDescent="0.25">
      <c r="A9" s="87" t="s">
        <v>45</v>
      </c>
      <c r="B9" s="88">
        <v>0.1</v>
      </c>
      <c r="C9" s="86" t="s">
        <v>68</v>
      </c>
      <c r="D9" s="87"/>
      <c r="E9" s="87" t="s">
        <v>80</v>
      </c>
    </row>
    <row r="10" spans="1:5" x14ac:dyDescent="0.25">
      <c r="A10" s="87" t="s">
        <v>45</v>
      </c>
      <c r="B10" s="89">
        <v>5.5E-2</v>
      </c>
      <c r="C10" s="86" t="s">
        <v>69</v>
      </c>
      <c r="D10" s="87"/>
      <c r="E10" s="87" t="s">
        <v>81</v>
      </c>
    </row>
    <row r="11" spans="1:5" x14ac:dyDescent="0.25">
      <c r="A11" s="87" t="s">
        <v>45</v>
      </c>
      <c r="B11" s="89">
        <v>2.1000000000000001E-2</v>
      </c>
      <c r="C11" s="86" t="s">
        <v>70</v>
      </c>
      <c r="D11" s="87"/>
      <c r="E11" s="87" t="s">
        <v>82</v>
      </c>
    </row>
    <row r="12" spans="1:5" x14ac:dyDescent="0.25">
      <c r="A12" s="87" t="s">
        <v>45</v>
      </c>
      <c r="B12" s="88">
        <v>0</v>
      </c>
      <c r="C12" s="86" t="s">
        <v>71</v>
      </c>
      <c r="D12" s="87"/>
      <c r="E12" s="87" t="s">
        <v>83</v>
      </c>
    </row>
    <row r="13" spans="1:5" x14ac:dyDescent="0.25">
      <c r="A13" s="122" t="s">
        <v>47</v>
      </c>
      <c r="B13" s="92"/>
      <c r="C13" s="93"/>
      <c r="D13" s="91"/>
      <c r="E13" s="122" t="s">
        <v>48</v>
      </c>
    </row>
    <row r="14" spans="1:5" x14ac:dyDescent="0.25">
      <c r="A14" s="85" t="s">
        <v>49</v>
      </c>
      <c r="B14" s="88"/>
      <c r="C14" s="86"/>
      <c r="D14" s="87"/>
      <c r="E14" s="85" t="s">
        <v>50</v>
      </c>
    </row>
    <row r="15" spans="1:5" x14ac:dyDescent="0.25">
      <c r="A15" s="85" t="s">
        <v>51</v>
      </c>
      <c r="B15" s="88"/>
      <c r="C15" s="86"/>
      <c r="D15" s="87"/>
      <c r="E15" s="85" t="s">
        <v>52</v>
      </c>
    </row>
    <row r="16" spans="1:5" x14ac:dyDescent="0.25">
      <c r="A16" s="85" t="s">
        <v>53</v>
      </c>
      <c r="B16" s="88"/>
      <c r="C16" s="86"/>
      <c r="D16" s="87"/>
      <c r="E16" s="85" t="s">
        <v>54</v>
      </c>
    </row>
    <row r="17" spans="1:5" x14ac:dyDescent="0.25">
      <c r="A17" s="85" t="s">
        <v>55</v>
      </c>
      <c r="B17" s="88"/>
      <c r="C17" s="86"/>
      <c r="D17" s="87"/>
      <c r="E17" s="85" t="s">
        <v>56</v>
      </c>
    </row>
    <row r="18" spans="1:5" x14ac:dyDescent="0.25">
      <c r="A18" s="85" t="s">
        <v>57</v>
      </c>
      <c r="B18" s="88"/>
      <c r="C18" s="86"/>
      <c r="D18" s="87"/>
      <c r="E18" s="85" t="s">
        <v>58</v>
      </c>
    </row>
    <row r="19" spans="1:5" x14ac:dyDescent="0.25">
      <c r="A19" s="123" t="s">
        <v>59</v>
      </c>
      <c r="B19" s="124"/>
      <c r="C19" s="125"/>
      <c r="D19" s="126"/>
      <c r="E19" s="123" t="s">
        <v>60</v>
      </c>
    </row>
    <row r="20" spans="1:5" x14ac:dyDescent="0.25">
      <c r="A20" s="87"/>
      <c r="B20" s="87"/>
      <c r="C20" s="86"/>
      <c r="D20" s="87"/>
      <c r="E20" s="87"/>
    </row>
    <row r="21" spans="1:5" x14ac:dyDescent="0.25">
      <c r="A21" s="85" t="s">
        <v>109</v>
      </c>
    </row>
    <row r="22" spans="1:5" x14ac:dyDescent="0.25">
      <c r="A22" s="94" t="s">
        <v>84</v>
      </c>
      <c r="B22" t="s">
        <v>85</v>
      </c>
      <c r="C22" t="s">
        <v>86</v>
      </c>
    </row>
    <row r="23" spans="1:5" x14ac:dyDescent="0.25">
      <c r="A23" s="94" t="s">
        <v>87</v>
      </c>
      <c r="B23" t="s">
        <v>88</v>
      </c>
      <c r="C23" t="s">
        <v>86</v>
      </c>
    </row>
    <row r="24" spans="1:5" x14ac:dyDescent="0.25">
      <c r="A24" s="94" t="s">
        <v>89</v>
      </c>
      <c r="B24" t="s">
        <v>90</v>
      </c>
      <c r="C24" t="s">
        <v>86</v>
      </c>
    </row>
    <row r="25" spans="1:5" x14ac:dyDescent="0.25">
      <c r="A25" s="94" t="s">
        <v>91</v>
      </c>
      <c r="B25" t="s">
        <v>92</v>
      </c>
      <c r="C25" t="s">
        <v>93</v>
      </c>
    </row>
    <row r="26" spans="1:5" x14ac:dyDescent="0.25">
      <c r="A26" s="94" t="s">
        <v>94</v>
      </c>
      <c r="B26" t="s">
        <v>95</v>
      </c>
      <c r="C26" t="s">
        <v>93</v>
      </c>
    </row>
    <row r="27" spans="1:5" x14ac:dyDescent="0.25">
      <c r="A27" s="94" t="s">
        <v>96</v>
      </c>
      <c r="B27" t="s">
        <v>97</v>
      </c>
      <c r="C27" t="s">
        <v>93</v>
      </c>
    </row>
    <row r="28" spans="1:5" x14ac:dyDescent="0.25">
      <c r="A28" s="94" t="s">
        <v>98</v>
      </c>
      <c r="B28" t="s">
        <v>99</v>
      </c>
      <c r="C28" t="s">
        <v>100</v>
      </c>
    </row>
    <row r="29" spans="1:5" x14ac:dyDescent="0.25">
      <c r="A29" s="94" t="s">
        <v>101</v>
      </c>
      <c r="B29" t="s">
        <v>102</v>
      </c>
      <c r="C29" t="s">
        <v>100</v>
      </c>
    </row>
    <row r="30" spans="1:5" x14ac:dyDescent="0.25">
      <c r="A30" s="94" t="s">
        <v>103</v>
      </c>
      <c r="B30" t="s">
        <v>104</v>
      </c>
      <c r="C30" t="s">
        <v>100</v>
      </c>
    </row>
    <row r="31" spans="1:5" ht="30" x14ac:dyDescent="0.25">
      <c r="A31" s="94" t="s">
        <v>105</v>
      </c>
      <c r="B31" s="127" t="s">
        <v>123</v>
      </c>
      <c r="C31" t="s">
        <v>106</v>
      </c>
    </row>
    <row r="32" spans="1:5" ht="30" x14ac:dyDescent="0.25">
      <c r="A32" s="94" t="s">
        <v>107</v>
      </c>
      <c r="B32" s="127" t="s">
        <v>124</v>
      </c>
      <c r="C32" t="s">
        <v>106</v>
      </c>
    </row>
    <row r="33" spans="1:3" x14ac:dyDescent="0.25">
      <c r="A33" s="94" t="s">
        <v>108</v>
      </c>
      <c r="B33"/>
      <c r="C33" t="s">
        <v>106</v>
      </c>
    </row>
    <row r="36" spans="1:3" x14ac:dyDescent="0.25">
      <c r="A36" s="85" t="s">
        <v>61</v>
      </c>
    </row>
    <row r="37" spans="1:3" x14ac:dyDescent="0.25">
      <c r="A37" t="s">
        <v>45</v>
      </c>
      <c r="B37" s="85" t="s">
        <v>46</v>
      </c>
    </row>
    <row r="38" spans="1:3" x14ac:dyDescent="0.25">
      <c r="A38" t="s">
        <v>47</v>
      </c>
      <c r="B38" s="85" t="s">
        <v>48</v>
      </c>
    </row>
    <row r="39" spans="1:3" x14ac:dyDescent="0.25">
      <c r="A39" t="s">
        <v>49</v>
      </c>
      <c r="B39" s="85" t="s">
        <v>50</v>
      </c>
    </row>
    <row r="40" spans="1:3" x14ac:dyDescent="0.25">
      <c r="A40" t="s">
        <v>51</v>
      </c>
      <c r="B40" s="85" t="s">
        <v>52</v>
      </c>
    </row>
    <row r="41" spans="1:3" x14ac:dyDescent="0.25">
      <c r="A41" t="s">
        <v>53</v>
      </c>
      <c r="B41" s="85" t="s">
        <v>54</v>
      </c>
    </row>
    <row r="42" spans="1:3" x14ac:dyDescent="0.25">
      <c r="A42" t="s">
        <v>55</v>
      </c>
      <c r="B42" s="85" t="s">
        <v>56</v>
      </c>
    </row>
    <row r="43" spans="1:3" x14ac:dyDescent="0.25">
      <c r="A43" t="s">
        <v>57</v>
      </c>
      <c r="B43" s="85" t="s">
        <v>58</v>
      </c>
    </row>
    <row r="44" spans="1:3" x14ac:dyDescent="0.25">
      <c r="A44" t="s">
        <v>59</v>
      </c>
      <c r="B44" s="85" t="s">
        <v>60</v>
      </c>
    </row>
  </sheetData>
  <pageMargins left="0.7" right="0.7" top="0.75" bottom="0.75" header="0.3" footer="0.3"/>
  <pageSetup orientation="portrait" horizontalDpi="360" verticalDpi="36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B0481-078B-4FAE-91BE-C3E297EA04B9}">
  <dimension ref="A1:F21"/>
  <sheetViews>
    <sheetView workbookViewId="0">
      <selection activeCell="B21" sqref="B21"/>
    </sheetView>
  </sheetViews>
  <sheetFormatPr baseColWidth="10" defaultRowHeight="15" x14ac:dyDescent="0.25"/>
  <cols>
    <col min="1" max="1" width="33" customWidth="1"/>
    <col min="2" max="2" width="76.28515625" customWidth="1"/>
    <col min="3" max="3" width="5.7109375" customWidth="1"/>
    <col min="4" max="4" width="7.42578125" customWidth="1"/>
    <col min="5" max="5" width="45.28515625" customWidth="1"/>
    <col min="6" max="6" width="37.42578125" customWidth="1"/>
  </cols>
  <sheetData>
    <row r="1" spans="1:6" x14ac:dyDescent="0.25">
      <c r="B1" s="140" t="s">
        <v>144</v>
      </c>
    </row>
    <row r="2" spans="1:6" x14ac:dyDescent="0.25">
      <c r="A2" s="39" t="s">
        <v>36</v>
      </c>
      <c r="B2" s="119"/>
    </row>
    <row r="3" spans="1:6" x14ac:dyDescent="0.25">
      <c r="A3" s="41" t="s">
        <v>37</v>
      </c>
      <c r="B3" s="119"/>
    </row>
    <row r="4" spans="1:6" x14ac:dyDescent="0.25">
      <c r="A4" s="42" t="s">
        <v>40</v>
      </c>
      <c r="B4" s="139"/>
    </row>
    <row r="5" spans="1:6" x14ac:dyDescent="0.25">
      <c r="A5" s="42" t="s">
        <v>18</v>
      </c>
      <c r="B5" s="119"/>
    </row>
    <row r="6" spans="1:6" x14ac:dyDescent="0.25">
      <c r="A6" s="42" t="s">
        <v>38</v>
      </c>
      <c r="B6" s="119"/>
    </row>
    <row r="7" spans="1:6" x14ac:dyDescent="0.25">
      <c r="A7" s="42" t="s">
        <v>39</v>
      </c>
      <c r="B7" s="119"/>
    </row>
    <row r="8" spans="1:6" x14ac:dyDescent="0.25">
      <c r="A8" s="42" t="s">
        <v>22</v>
      </c>
      <c r="B8" s="119"/>
    </row>
    <row r="9" spans="1:6" x14ac:dyDescent="0.25">
      <c r="A9" s="69" t="s">
        <v>4</v>
      </c>
      <c r="B9" s="119"/>
    </row>
    <row r="10" spans="1:6" x14ac:dyDescent="0.25">
      <c r="A10" s="42" t="s">
        <v>1</v>
      </c>
      <c r="B10" s="119"/>
    </row>
    <row r="11" spans="1:6" x14ac:dyDescent="0.25">
      <c r="A11" s="42" t="s">
        <v>19</v>
      </c>
      <c r="B11" s="119"/>
    </row>
    <row r="12" spans="1:6" x14ac:dyDescent="0.25">
      <c r="A12" s="42" t="s">
        <v>20</v>
      </c>
      <c r="B12" s="119"/>
    </row>
    <row r="13" spans="1:6" x14ac:dyDescent="0.25">
      <c r="A13" s="70" t="s">
        <v>21</v>
      </c>
      <c r="B13" s="119"/>
    </row>
    <row r="14" spans="1:6" x14ac:dyDescent="0.25">
      <c r="A14" t="s">
        <v>145</v>
      </c>
      <c r="B14" s="141"/>
    </row>
    <row r="15" spans="1:6" x14ac:dyDescent="0.25">
      <c r="A15" s="111" t="s">
        <v>117</v>
      </c>
      <c r="D15" s="142"/>
      <c r="E15" s="143"/>
      <c r="F15" s="143"/>
    </row>
    <row r="16" spans="1:6" x14ac:dyDescent="0.25">
      <c r="A16" t="s">
        <v>146</v>
      </c>
      <c r="D16" s="143"/>
      <c r="E16" s="143"/>
      <c r="F16" s="144"/>
    </row>
    <row r="17" spans="1:6" x14ac:dyDescent="0.25">
      <c r="A17" t="s">
        <v>147</v>
      </c>
      <c r="D17" s="143"/>
      <c r="E17" s="143"/>
      <c r="F17" s="144"/>
    </row>
    <row r="18" spans="1:6" x14ac:dyDescent="0.25">
      <c r="A18" t="s">
        <v>148</v>
      </c>
    </row>
    <row r="19" spans="1:6" x14ac:dyDescent="0.25">
      <c r="A19" t="s">
        <v>149</v>
      </c>
    </row>
    <row r="20" spans="1:6" x14ac:dyDescent="0.25">
      <c r="A20" t="s">
        <v>150</v>
      </c>
    </row>
    <row r="21" spans="1:6" x14ac:dyDescent="0.25">
      <c r="A21" t="s">
        <v>151</v>
      </c>
    </row>
  </sheetData>
  <dataValidations count="1">
    <dataValidation type="list" allowBlank="1" showInputMessage="1" showErrorMessage="1" sqref="B15" xr:uid="{74C65FDA-3756-4D5D-B4F6-7D4AA2A59364}">
      <formula1>liste_regimes_tva</formula1>
    </dataValidation>
  </dataValidations>
  <pageMargins left="0.7" right="0.7" top="0.75" bottom="0.75" header="0.3" footer="0.3"/>
  <pageSetup paperSize="9" orientation="portrait" horizontalDpi="360" verticalDpi="36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66D266-DCDF-4C84-8F5A-F0C40C4C460B}">
  <dimension ref="A1:E9"/>
  <sheetViews>
    <sheetView workbookViewId="0">
      <selection activeCell="D2" sqref="D2"/>
    </sheetView>
  </sheetViews>
  <sheetFormatPr baseColWidth="10" defaultRowHeight="15" x14ac:dyDescent="0.25"/>
  <cols>
    <col min="2" max="2" width="94.140625" style="97" customWidth="1"/>
    <col min="3" max="3" width="5.28515625" style="98" customWidth="1"/>
    <col min="4" max="4" width="17.85546875" customWidth="1"/>
    <col min="5" max="5" width="5.140625" customWidth="1"/>
    <col min="6" max="6" width="20.28515625" customWidth="1"/>
  </cols>
  <sheetData>
    <row r="1" spans="1:5" x14ac:dyDescent="0.25">
      <c r="A1" s="85" t="s">
        <v>115</v>
      </c>
    </row>
    <row r="2" spans="1:5" x14ac:dyDescent="0.25">
      <c r="B2" s="97" t="s">
        <v>116</v>
      </c>
    </row>
    <row r="4" spans="1:5" x14ac:dyDescent="0.25">
      <c r="A4" s="85" t="s">
        <v>111</v>
      </c>
    </row>
    <row r="5" spans="1:5" ht="30" x14ac:dyDescent="0.25">
      <c r="B5" s="97" t="s">
        <v>118</v>
      </c>
    </row>
    <row r="6" spans="1:5" ht="49.5" customHeight="1" x14ac:dyDescent="0.25">
      <c r="B6" s="97" t="s">
        <v>143</v>
      </c>
      <c r="C6" s="99"/>
      <c r="E6" s="99"/>
    </row>
    <row r="8" spans="1:5" x14ac:dyDescent="0.25">
      <c r="A8" s="85" t="s">
        <v>113</v>
      </c>
    </row>
    <row r="9" spans="1:5" ht="30" x14ac:dyDescent="0.25">
      <c r="B9" s="97" t="s">
        <v>114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8AEFAC-BABA-4F76-93F1-F032D8EAC5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8</vt:i4>
      </vt:variant>
      <vt:variant>
        <vt:lpstr>Plages nommées</vt:lpstr>
      </vt:variant>
      <vt:variant>
        <vt:i4>122</vt:i4>
      </vt:variant>
    </vt:vector>
  </HeadingPairs>
  <TitlesOfParts>
    <vt:vector size="130" baseType="lpstr">
      <vt:lpstr>devis</vt:lpstr>
      <vt:lpstr>facture</vt:lpstr>
      <vt:lpstr>avoir</vt:lpstr>
      <vt:lpstr>clients</vt:lpstr>
      <vt:lpstr>produits</vt:lpstr>
      <vt:lpstr>listes</vt:lpstr>
      <vt:lpstr>config</vt:lpstr>
      <vt:lpstr>aide</vt:lpstr>
      <vt:lpstr>config!AAB</vt:lpstr>
      <vt:lpstr>avoir!acompte</vt:lpstr>
      <vt:lpstr>devis!acompte</vt:lpstr>
      <vt:lpstr>facture!acompte</vt:lpstr>
      <vt:lpstr>avoir!adresse_client</vt:lpstr>
      <vt:lpstr>devis!adresse_client</vt:lpstr>
      <vt:lpstr>facture!adresse_client</vt:lpstr>
      <vt:lpstr>avoir!av_num_avoir</vt:lpstr>
      <vt:lpstr>config!backup</vt:lpstr>
      <vt:lpstr>avoir!buyer_address</vt:lpstr>
      <vt:lpstr>facture!buyer_address</vt:lpstr>
      <vt:lpstr>avoir!buyer_city</vt:lpstr>
      <vt:lpstr>facture!buyer_city</vt:lpstr>
      <vt:lpstr>avoir!buyer_contact</vt:lpstr>
      <vt:lpstr>facture!buyer_contact</vt:lpstr>
      <vt:lpstr>avoir!buyer_country</vt:lpstr>
      <vt:lpstr>facture!buyer_country</vt:lpstr>
      <vt:lpstr>avoir!buyer_mail</vt:lpstr>
      <vt:lpstr>facture!buyer_mail</vt:lpstr>
      <vt:lpstr>avoir!buyer_name</vt:lpstr>
      <vt:lpstr>facture!buyer_name</vt:lpstr>
      <vt:lpstr>avoir!buyer_party_legal_entity_id</vt:lpstr>
      <vt:lpstr>facture!buyer_party_legal_entity_id</vt:lpstr>
      <vt:lpstr>facture!buyer_phone</vt:lpstr>
      <vt:lpstr>buyer_phone</vt:lpstr>
      <vt:lpstr>avoir!buyer_postalzone</vt:lpstr>
      <vt:lpstr>facture!buyer_postalzone</vt:lpstr>
      <vt:lpstr>avoir!buyer_registration_name</vt:lpstr>
      <vt:lpstr>facture!buyer_registration_name</vt:lpstr>
      <vt:lpstr>avoir!buyer_tax_scheme_id</vt:lpstr>
      <vt:lpstr>facture!buyer_tax_scheme_id</vt:lpstr>
      <vt:lpstr>avoir!date_facture</vt:lpstr>
      <vt:lpstr>facture!date_facture</vt:lpstr>
      <vt:lpstr>avoir!date_facture_reference</vt:lpstr>
      <vt:lpstr>devis!description_devis</vt:lpstr>
      <vt:lpstr>devis!dev_date_devis</vt:lpstr>
      <vt:lpstr>devis!dev_date_valid</vt:lpstr>
      <vt:lpstr>devis!dev_num_devis</vt:lpstr>
      <vt:lpstr>facture!fact_date_echeance</vt:lpstr>
      <vt:lpstr>facture!fact_date_livraison</vt:lpstr>
      <vt:lpstr>facture!fact_num_fact</vt:lpstr>
      <vt:lpstr>facture!fact_ref_commande</vt:lpstr>
      <vt:lpstr>first_avoir_number</vt:lpstr>
      <vt:lpstr>first_invoice_number</vt:lpstr>
      <vt:lpstr>footer</vt:lpstr>
      <vt:lpstr>liste_cat_taxes</vt:lpstr>
      <vt:lpstr>liste_regimes_tva</vt:lpstr>
      <vt:lpstr>avoir!logo</vt:lpstr>
      <vt:lpstr>devis!logo</vt:lpstr>
      <vt:lpstr>facture!logo</vt:lpstr>
      <vt:lpstr>avoir!net_a_payer</vt:lpstr>
      <vt:lpstr>devis!net_a_payer</vt:lpstr>
      <vt:lpstr>facture!net_a_payer</vt:lpstr>
      <vt:lpstr>avoir!note_avoir</vt:lpstr>
      <vt:lpstr>facture!note_facture</vt:lpstr>
      <vt:lpstr>avoir!num_client</vt:lpstr>
      <vt:lpstr>devis!num_client</vt:lpstr>
      <vt:lpstr>facture!num_client</vt:lpstr>
      <vt:lpstr>config!PMD</vt:lpstr>
      <vt:lpstr>config!PMT</vt:lpstr>
      <vt:lpstr>postalzone</vt:lpstr>
      <vt:lpstr>Produits</vt:lpstr>
      <vt:lpstr>avoir!RCS</vt:lpstr>
      <vt:lpstr>config!RCS</vt:lpstr>
      <vt:lpstr>devis!RCS</vt:lpstr>
      <vt:lpstr>facture!RCS</vt:lpstr>
      <vt:lpstr>ref_client</vt:lpstr>
      <vt:lpstr>ref_produit</vt:lpstr>
      <vt:lpstr>avoir!reference_facture</vt:lpstr>
      <vt:lpstr>regime_tva</vt:lpstr>
      <vt:lpstr>avoir!seller_address</vt:lpstr>
      <vt:lpstr>config!seller_address</vt:lpstr>
      <vt:lpstr>devis!seller_address</vt:lpstr>
      <vt:lpstr>facture!seller_address</vt:lpstr>
      <vt:lpstr>config!seller_address2</vt:lpstr>
      <vt:lpstr>config!seller_city</vt:lpstr>
      <vt:lpstr>avoir!seller_country</vt:lpstr>
      <vt:lpstr>config!seller_country</vt:lpstr>
      <vt:lpstr>devis!seller_country</vt:lpstr>
      <vt:lpstr>facture!seller_country</vt:lpstr>
      <vt:lpstr>avoir!seller_cp_city</vt:lpstr>
      <vt:lpstr>devis!seller_cp_city</vt:lpstr>
      <vt:lpstr>facture!seller_cp_city</vt:lpstr>
      <vt:lpstr>avoir!seller_mail</vt:lpstr>
      <vt:lpstr>config!seller_mail</vt:lpstr>
      <vt:lpstr>devis!seller_mail</vt:lpstr>
      <vt:lpstr>facture!seller_mail</vt:lpstr>
      <vt:lpstr>seller_mail</vt:lpstr>
      <vt:lpstr>avoir!seller_name</vt:lpstr>
      <vt:lpstr>config!seller_name</vt:lpstr>
      <vt:lpstr>devis!seller_name</vt:lpstr>
      <vt:lpstr>facture!seller_name</vt:lpstr>
      <vt:lpstr>avoir!seller_party_legal_entity_id</vt:lpstr>
      <vt:lpstr>config!seller_party_legal_entity_id</vt:lpstr>
      <vt:lpstr>devis!seller_party_legal_entity_id</vt:lpstr>
      <vt:lpstr>facture!seller_party_legal_entity_id</vt:lpstr>
      <vt:lpstr>avoir!seller_phone</vt:lpstr>
      <vt:lpstr>config!seller_phone</vt:lpstr>
      <vt:lpstr>devis!seller_phone</vt:lpstr>
      <vt:lpstr>facture!seller_phone</vt:lpstr>
      <vt:lpstr>config!seller_postalzone</vt:lpstr>
      <vt:lpstr>avoir!seller_registration_name</vt:lpstr>
      <vt:lpstr>config!seller_registration_name</vt:lpstr>
      <vt:lpstr>devis!seller_registration_name</vt:lpstr>
      <vt:lpstr>facture!seller_registration_name</vt:lpstr>
      <vt:lpstr>avoir!seller_tax_scheme_id</vt:lpstr>
      <vt:lpstr>config!seller_tax_scheme_id</vt:lpstr>
      <vt:lpstr>devis!seller_tax_scheme_id</vt:lpstr>
      <vt:lpstr>facture!seller_tax_scheme_id</vt:lpstr>
      <vt:lpstr>listes!Taux_tva</vt:lpstr>
      <vt:lpstr>avoir!total_ht</vt:lpstr>
      <vt:lpstr>devis!total_ht</vt:lpstr>
      <vt:lpstr>facture!total_ht</vt:lpstr>
      <vt:lpstr>avoir!total_ttc</vt:lpstr>
      <vt:lpstr>devis!total_ttc</vt:lpstr>
      <vt:lpstr>facture!total_ttc</vt:lpstr>
      <vt:lpstr>avoir!total_tva</vt:lpstr>
      <vt:lpstr>devis!total_tva</vt:lpstr>
      <vt:lpstr>facture!total_tva</vt:lpstr>
      <vt:lpstr>avoir!Zone_d_impression</vt:lpstr>
      <vt:lpstr>devis!Zone_d_impression</vt:lpstr>
      <vt:lpstr>facture!Zone_d_impression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Meyer</dc:creator>
  <cp:lastModifiedBy>Olivier Meyer</cp:lastModifiedBy>
  <cp:lastPrinted>2024-05-23T09:23:53Z</cp:lastPrinted>
  <dcterms:created xsi:type="dcterms:W3CDTF">2024-05-16T14:36:49Z</dcterms:created>
  <dcterms:modified xsi:type="dcterms:W3CDTF">2026-07-23T07:24:05Z</dcterms:modified>
</cp:coreProperties>
</file>